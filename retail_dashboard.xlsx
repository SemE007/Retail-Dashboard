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emek\Documents\SQL Course\"/>
    </mc:Choice>
  </mc:AlternateContent>
  <xr:revisionPtr revIDLastSave="0" documentId="8_{28682A62-6E8F-48F5-84DC-FAFF155F3C36}" xr6:coauthVersionLast="47" xr6:coauthVersionMax="47" xr10:uidLastSave="{00000000-0000-0000-0000-000000000000}"/>
  <bookViews>
    <workbookView xWindow="28665" yWindow="-135" windowWidth="29070" windowHeight="15750" xr2:uid="{4A73E02A-895A-4BD1-A2DE-6542CE50B0F6}"/>
  </bookViews>
  <sheets>
    <sheet name="Dashboard" sheetId="1" r:id="rId1"/>
    <sheet name="Lookups" sheetId="7" r:id="rId2"/>
    <sheet name="Pivots" sheetId="8" r:id="rId3"/>
    <sheet name="FactSales" sheetId="4" r:id="rId4"/>
  </sheets>
  <definedNames>
    <definedName name="ExternalData_1" localSheetId="3">FactSales!#REF!</definedName>
    <definedName name="ExternalData_2" localSheetId="3" hidden="1">FactSales!$A$1:$Q$1167</definedName>
    <definedName name="Slicer_Channel">#N/A</definedName>
    <definedName name="Slicer_Regions">#N/A</definedName>
    <definedName name="Slicer_Segment">#N/A</definedName>
  </definedNames>
  <calcPr calcId="191029"/>
  <pivotCaches>
    <pivotCache cacheId="4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44" i="1" l="1"/>
  <c r="D72" i="1"/>
  <c r="D71" i="1"/>
  <c r="D70" i="1"/>
  <c r="D69" i="1"/>
  <c r="D68" i="1"/>
  <c r="D67" i="1"/>
  <c r="D66" i="1"/>
  <c r="D65" i="1"/>
  <c r="D64" i="1"/>
  <c r="D63" i="1"/>
  <c r="C72" i="1"/>
  <c r="C71" i="1"/>
  <c r="C70" i="1"/>
  <c r="C69" i="1"/>
  <c r="C68" i="1"/>
  <c r="C67" i="1"/>
  <c r="C66" i="1"/>
  <c r="C65" i="1"/>
  <c r="C64" i="1"/>
  <c r="C63" i="1"/>
  <c r="F42" i="1"/>
  <c r="F44" i="1" s="1"/>
  <c r="D42" i="1"/>
  <c r="D44" i="1" s="1"/>
  <c r="B42" i="1"/>
  <c r="B44" i="1" s="1"/>
  <c r="J42" i="1" a="1"/>
  <c r="D34" i="1"/>
  <c r="D33" i="1"/>
  <c r="D32" i="1"/>
  <c r="D31" i="1"/>
  <c r="D30" i="1"/>
  <c r="D29" i="1"/>
  <c r="D28" i="1"/>
  <c r="D27" i="1"/>
  <c r="D26" i="1"/>
  <c r="D25" i="1"/>
  <c r="C34" i="1"/>
  <c r="C33" i="1"/>
  <c r="C32" i="1"/>
  <c r="C31" i="1"/>
  <c r="C30" i="1"/>
  <c r="C29" i="1"/>
  <c r="C28" i="1"/>
  <c r="C27" i="1"/>
  <c r="C26" i="1"/>
  <c r="C25" i="1"/>
  <c r="J6" i="1" a="1"/>
  <c r="D6" i="1"/>
  <c r="F6" i="1"/>
  <c r="B6" i="1"/>
  <c r="D3" i="7"/>
  <c r="D4" i="7"/>
  <c r="D5" i="7"/>
  <c r="D6" i="7"/>
  <c r="D7" i="7"/>
  <c r="D8" i="7"/>
  <c r="D9" i="7"/>
  <c r="D10" i="7"/>
  <c r="D11" i="7"/>
  <c r="D12" i="7"/>
  <c r="D13" i="7"/>
  <c r="D14" i="7"/>
  <c r="D15" i="7"/>
  <c r="D16" i="7"/>
  <c r="D17" i="7"/>
  <c r="D18" i="7"/>
  <c r="D19" i="7"/>
  <c r="D20" i="7"/>
  <c r="D21" i="7"/>
  <c r="D22" i="7"/>
  <c r="D2" i="7"/>
  <c r="C3" i="7"/>
  <c r="C4" i="7"/>
  <c r="C5" i="7"/>
  <c r="C6" i="7"/>
  <c r="C7" i="7"/>
  <c r="C8" i="7"/>
  <c r="C9" i="7"/>
  <c r="C10" i="7"/>
  <c r="C11" i="7"/>
  <c r="C12" i="7"/>
  <c r="C13" i="7"/>
  <c r="C14" i="7"/>
  <c r="C15" i="7"/>
  <c r="C16" i="7"/>
  <c r="C17" i="7"/>
  <c r="C18" i="7"/>
  <c r="C19" i="7"/>
  <c r="C20" i="7"/>
  <c r="C21" i="7"/>
  <c r="C22" i="7"/>
  <c r="B3" i="7"/>
  <c r="B4" i="7"/>
  <c r="B5" i="7"/>
  <c r="B6" i="7"/>
  <c r="B7" i="7"/>
  <c r="B8" i="7"/>
  <c r="B9" i="7"/>
  <c r="B10" i="7"/>
  <c r="B11" i="7"/>
  <c r="B12" i="7"/>
  <c r="B13" i="7"/>
  <c r="B14" i="7"/>
  <c r="B15" i="7"/>
  <c r="B16" i="7"/>
  <c r="B17" i="7"/>
  <c r="B18" i="7"/>
  <c r="B19" i="7"/>
  <c r="B20" i="7"/>
  <c r="B21" i="7"/>
  <c r="B22" i="7"/>
  <c r="B2" i="7"/>
  <c r="C2" i="7"/>
  <c r="E72" i="1" l="1"/>
  <c r="E69" i="1"/>
  <c r="E68" i="1"/>
  <c r="E67" i="1"/>
  <c r="E66" i="1"/>
  <c r="E65" i="1"/>
  <c r="E64" i="1"/>
  <c r="E70" i="1"/>
  <c r="E71" i="1"/>
  <c r="E63" i="1"/>
  <c r="H42" i="1"/>
  <c r="E25" i="1"/>
  <c r="E33" i="1"/>
  <c r="E32" i="1"/>
  <c r="E31" i="1"/>
  <c r="E30" i="1"/>
  <c r="E29" i="1"/>
  <c r="E28" i="1"/>
  <c r="E27" i="1"/>
  <c r="E26" i="1"/>
  <c r="E34" i="1"/>
  <c r="H6" i="1"/>
  <c r="H4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52CF52-FD65-498C-9C77-46E1780A6AD5}"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2" xr16:uid="{4C321393-E6E9-4C7E-AF71-89D9A737C444}" keepAlive="1" name="Query - FactSales1" description="Connection to the 'FactSales' query in the workbook." type="5" refreshedVersion="0" background="1" saveData="1">
    <dbPr connection="Provider=Microsoft.Mashup.OleDb.1;Data Source=$Workbook$;Location=FactSales;Extended Properties=&quot;&quot;" command="SELECT * FROM [FactSales]"/>
  </connection>
  <connection id="3" xr16:uid="{0C1ED7FB-5F3E-4B46-905A-92C671D9D6A8}" keepAlive="1" name="Query - FactSales2" description="Connection to the 'FactSales' query in the workbook." type="5" refreshedVersion="8" background="1" saveData="1">
    <dbPr connection="Provider=Microsoft.Mashup.OleDb.1;Data Source=$Workbook$;Location=FactSales;Extended Properties=&quot;&quot;" command="SELECT * FROM [FactSales]"/>
  </connection>
  <connection id="4" xr16:uid="{AB31EAE5-4701-4DC0-ACA9-AA501C884C96}" keepAlive="1" name="Query - Regions" description="Connection to the 'Regions' query in the workbook." type="5" refreshedVersion="0" background="1">
    <dbPr connection="Provider=Microsoft.Mashup.OleDb.1;Data Source=$Workbook$;Location=Regions;Extended Properties=&quot;&quot;" command="SELECT * FROM [Regions]"/>
  </connection>
  <connection id="5" xr16:uid="{18589899-CE11-4165-BEA2-7E75D4196255}" keepAlive="1" name="Query - Sales" description="Connection to the 'Sales' query in the workbook." type="5" refreshedVersion="0" background="1">
    <dbPr connection="Provider=Microsoft.Mashup.OleDb.1;Data Source=$Workbook$;Location=Sales;Extended Properties=&quot;&quot;" command="SELECT * FROM [Sale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<sst xmlns="http://schemas.openxmlformats.org/spreadsheetml/2006/main" count="9499" uniqueCount="177">
  <si>
    <t>OrderID</t>
  </si>
  <si>
    <t>OrderDate</t>
  </si>
  <si>
    <t>Year</t>
  </si>
  <si>
    <t>Quarter</t>
  </si>
  <si>
    <t>MonthNum</t>
  </si>
  <si>
    <t>CustomerID</t>
  </si>
  <si>
    <t>Name</t>
  </si>
  <si>
    <t>Segment</t>
  </si>
  <si>
    <t>Country</t>
  </si>
  <si>
    <t>Regions</t>
  </si>
  <si>
    <t>Product</t>
  </si>
  <si>
    <t>Quantity</t>
  </si>
  <si>
    <t>UnitPrice</t>
  </si>
  <si>
    <t>LineRevenue</t>
  </si>
  <si>
    <t>OrderSize</t>
  </si>
  <si>
    <t>Channel</t>
  </si>
  <si>
    <t>Status</t>
  </si>
  <si>
    <t>Sophie Brown</t>
  </si>
  <si>
    <t>Mid-Market</t>
  </si>
  <si>
    <t>France</t>
  </si>
  <si>
    <t>Europe</t>
  </si>
  <si>
    <t>Tablet</t>
  </si>
  <si>
    <t>Bulk</t>
  </si>
  <si>
    <t>store</t>
  </si>
  <si>
    <t>completed</t>
  </si>
  <si>
    <t>Carlos Muller</t>
  </si>
  <si>
    <t>Consumer</t>
  </si>
  <si>
    <t>Netherlands</t>
  </si>
  <si>
    <t>Desk Lamp</t>
  </si>
  <si>
    <t>Medium</t>
  </si>
  <si>
    <t>mobile</t>
  </si>
  <si>
    <t>cancelled</t>
  </si>
  <si>
    <t>John Wilson</t>
  </si>
  <si>
    <t>Mexico</t>
  </si>
  <si>
    <t>LATAM</t>
  </si>
  <si>
    <t>Cable Kit</t>
  </si>
  <si>
    <t>Single</t>
  </si>
  <si>
    <t>Carlos Tanaka</t>
  </si>
  <si>
    <t>Italy</t>
  </si>
  <si>
    <t>Standing Desk</t>
  </si>
  <si>
    <t>shipped</t>
  </si>
  <si>
    <t>pending</t>
  </si>
  <si>
    <t>Mechanical Keyboard</t>
  </si>
  <si>
    <t>web</t>
  </si>
  <si>
    <t>Maria Smith</t>
  </si>
  <si>
    <t>refunded</t>
  </si>
  <si>
    <t>James Nilsson</t>
  </si>
  <si>
    <t>Headset</t>
  </si>
  <si>
    <t>phone</t>
  </si>
  <si>
    <t xml:space="preserve">pending </t>
  </si>
  <si>
    <t>Power Bank</t>
  </si>
  <si>
    <t>USB-C Hub</t>
  </si>
  <si>
    <t>Wireless Mouse</t>
  </si>
  <si>
    <t>Anna Johnson</t>
  </si>
  <si>
    <t>Germany</t>
  </si>
  <si>
    <t>Sophie Johnson</t>
  </si>
  <si>
    <t>USA</t>
  </si>
  <si>
    <t>North America</t>
  </si>
  <si>
    <t>Docking Station</t>
  </si>
  <si>
    <t>Laptop Pro</t>
  </si>
  <si>
    <t>Smartphone</t>
  </si>
  <si>
    <t>Julia Johnson</t>
  </si>
  <si>
    <t>Enterprise</t>
  </si>
  <si>
    <t>Maria Martin</t>
  </si>
  <si>
    <t>John Garcia</t>
  </si>
  <si>
    <t>Brazil</t>
  </si>
  <si>
    <t>Paul Martin</t>
  </si>
  <si>
    <t>Spain</t>
  </si>
  <si>
    <t>Nora Tanaka</t>
  </si>
  <si>
    <t>SMB</t>
  </si>
  <si>
    <t>Webcam HD</t>
  </si>
  <si>
    <t>Office Chair</t>
  </si>
  <si>
    <t>Nora Brown</t>
  </si>
  <si>
    <t>Sophie Nilsson</t>
  </si>
  <si>
    <t>Japan</t>
  </si>
  <si>
    <t>APAC</t>
  </si>
  <si>
    <t>Anna Muller</t>
  </si>
  <si>
    <t>Sophie Tanaka</t>
  </si>
  <si>
    <t>Australia</t>
  </si>
  <si>
    <t>Maria Johnson</t>
  </si>
  <si>
    <t>Marie Tanaka</t>
  </si>
  <si>
    <t>John Smith</t>
  </si>
  <si>
    <t>Lucas Rossi</t>
  </si>
  <si>
    <t>Nora Muller</t>
  </si>
  <si>
    <t>David Martin</t>
  </si>
  <si>
    <t>Canada</t>
  </si>
  <si>
    <t>Lucas Tanaka</t>
  </si>
  <si>
    <t>Sophie Martin</t>
  </si>
  <si>
    <t>Emma Leclerc</t>
  </si>
  <si>
    <t>Paul Rodriguez</t>
  </si>
  <si>
    <t>Julia Nilsson</t>
  </si>
  <si>
    <t>Anna Dupont</t>
  </si>
  <si>
    <t>Carlos Wilson</t>
  </si>
  <si>
    <t>Marie Nilsson</t>
  </si>
  <si>
    <t>Sarah Rodriguez</t>
  </si>
  <si>
    <t>Anna Garcia</t>
  </si>
  <si>
    <t>John Rodriguez</t>
  </si>
  <si>
    <t>4K Monitor</t>
  </si>
  <si>
    <t>Lisa Chen</t>
  </si>
  <si>
    <t>Pierre Smith</t>
  </si>
  <si>
    <t>Nora Rodriguez</t>
  </si>
  <si>
    <t>John Chen</t>
  </si>
  <si>
    <t>John Rossi</t>
  </si>
  <si>
    <t>Sophie Garcia</t>
  </si>
  <si>
    <t>Lisa Martin</t>
  </si>
  <si>
    <t>James Garcia</t>
  </si>
  <si>
    <t>Lucas Muller</t>
  </si>
  <si>
    <t>Pierre Wilson</t>
  </si>
  <si>
    <t>Marie Martin</t>
  </si>
  <si>
    <t>Pierre Brown</t>
  </si>
  <si>
    <t>Paul Leclerc</t>
  </si>
  <si>
    <t>Marie Smith</t>
  </si>
  <si>
    <t>Marie Chen</t>
  </si>
  <si>
    <t>David Rodriguez</t>
  </si>
  <si>
    <t>Emma Garcia</t>
  </si>
  <si>
    <t>James Brown</t>
  </si>
  <si>
    <t>Sarah Johnson</t>
  </si>
  <si>
    <t>Emma Johnson</t>
  </si>
  <si>
    <t>Carlos Nilsson</t>
  </si>
  <si>
    <t>Anna Nilsson</t>
  </si>
  <si>
    <t>Anna Rossi</t>
  </si>
  <si>
    <t>Paul Dupont</t>
  </si>
  <si>
    <t>Lucas Chen</t>
  </si>
  <si>
    <t>Maria Wilson</t>
  </si>
  <si>
    <t>Sarah Leclerc</t>
  </si>
  <si>
    <t>Nora Chen</t>
  </si>
  <si>
    <t>UK</t>
  </si>
  <si>
    <t>Pierre Rossi</t>
  </si>
  <si>
    <t>David Smith</t>
  </si>
  <si>
    <t>Carlos Dupont</t>
  </si>
  <si>
    <t>Emma Dupont</t>
  </si>
  <si>
    <t>Lisa Nilsson</t>
  </si>
  <si>
    <t>Maria Muller</t>
  </si>
  <si>
    <t>Emma Smith</t>
  </si>
  <si>
    <t>Row Labels</t>
  </si>
  <si>
    <t>Grand Total</t>
  </si>
  <si>
    <t>Column Labels</t>
  </si>
  <si>
    <t>Sum of LineRevenue</t>
  </si>
  <si>
    <t>Region</t>
  </si>
  <si>
    <t>Sum of Quantity</t>
  </si>
  <si>
    <t>Mid-market</t>
  </si>
  <si>
    <t>jan</t>
  </si>
  <si>
    <t>feb</t>
  </si>
  <si>
    <t>mrt</t>
  </si>
  <si>
    <t>apr</t>
  </si>
  <si>
    <t>mei</t>
  </si>
  <si>
    <t>jun</t>
  </si>
  <si>
    <t>jul</t>
  </si>
  <si>
    <t>aug</t>
  </si>
  <si>
    <t>sep</t>
  </si>
  <si>
    <t>okt</t>
  </si>
  <si>
    <t>nov</t>
  </si>
  <si>
    <t>dec</t>
  </si>
  <si>
    <t>Threshold</t>
  </si>
  <si>
    <t>Tiername</t>
  </si>
  <si>
    <t>Bronze</t>
  </si>
  <si>
    <t>Silver</t>
  </si>
  <si>
    <t>Gold</t>
  </si>
  <si>
    <t>Platinum</t>
  </si>
  <si>
    <t>Revenue</t>
  </si>
  <si>
    <t>CustomerName</t>
  </si>
  <si>
    <t>Tier</t>
  </si>
  <si>
    <t>Q1 2024 Retail Performance</t>
  </si>
  <si>
    <t>Source: FactSales ~refreshed automatically</t>
  </si>
  <si>
    <t>Total Revenue:</t>
  </si>
  <si>
    <t>Order Count:</t>
  </si>
  <si>
    <t>Total Quantity sold:</t>
  </si>
  <si>
    <t>Average Order Value:</t>
  </si>
  <si>
    <t>Active Customers:</t>
  </si>
  <si>
    <t>Q2 2024 Retail Performance</t>
  </si>
  <si>
    <t>Revenue as % of total:</t>
  </si>
  <si>
    <t>Count of Quantity</t>
  </si>
  <si>
    <t>Total Sum of LineRevenue</t>
  </si>
  <si>
    <t>Total Sum of Quantity</t>
  </si>
  <si>
    <t>Revenue:</t>
  </si>
  <si>
    <t>Quantity:</t>
  </si>
  <si>
    <t>QoQ: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</si>
</sst>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43" formatCode="_ * #,##0.00_ ;_ * \-#,##0.00_ ;_ * &quot;-&quot;??_ ;_ @_ "/>
    <numFmt numFmtId="164" formatCode="&quot;€&quot;\ #,##0"/>
    <numFmt numFmtId="172" formatCode="_ * #,##0_ ;_ * \-#,##0_ ;_ * &quot;-&quot;??_ ;_ @_ "/>
    <numFmt numFmtId="174" formatCode="0.0%"/>
  </numFmts>
  <fonts count="6" x14ac:knownFonts="1">
    <font>
      <sz val="11"/>
      <color theme="1"/>
      <name val="Aptos Narrow"/>
      <family val="2"/>
      <scheme val="minor"/>
    </font>
    <font>
      <sz val="11"/>
      <color theme="1"/>
      <name val="Aptos Narrow"/>
      <family val="2"/>
      <scheme val="minor"/>
    </font>
    <font>
      <sz val="16"/>
      <color theme="1"/>
      <name val="Aptos Narrow"/>
      <family val="2"/>
      <scheme val="minor"/>
    </font>
    <font>
      <b/>
      <sz val="22"/>
      <color theme="1"/>
      <name val="Aptos Narrow"/>
      <family val="2"/>
      <scheme val="minor"/>
    </font>
    <font>
      <i/>
      <sz val="11"/>
      <color theme="1"/>
      <name val="Aptos Narrow"/>
      <family val="2"/>
      <scheme val="minor"/>
    </font>
    <font>
      <i/>
      <sz val="16"/>
      <color theme="1"/>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 fontId="0" fillId="0" borderId="0" xfId="0" applyNumberFormat="1"/>
    <xf numFmtId="0" fontId="3" fillId="2" borderId="0" xfId="0" applyFont="1" applyFill="1"/>
    <xf numFmtId="0" fontId="0" fillId="2" borderId="0" xfId="0" applyFill="1"/>
    <xf numFmtId="0" fontId="4" fillId="2" borderId="0" xfId="0" applyFont="1" applyFill="1"/>
    <xf numFmtId="0" fontId="2" fillId="2" borderId="0" xfId="0" applyFont="1" applyFill="1"/>
    <xf numFmtId="44" fontId="2" fillId="2" borderId="0" xfId="2" applyFont="1" applyFill="1"/>
    <xf numFmtId="44" fontId="2" fillId="2" borderId="0" xfId="0" applyNumberFormat="1" applyFont="1" applyFill="1"/>
    <xf numFmtId="0" fontId="0" fillId="2" borderId="0" xfId="0" applyFill="1" applyAlignment="1">
      <alignment horizontal="left"/>
    </xf>
    <xf numFmtId="44" fontId="0" fillId="2" borderId="0" xfId="2" applyFont="1" applyFill="1"/>
    <xf numFmtId="174" fontId="0" fillId="2" borderId="0" xfId="3" applyNumberFormat="1" applyFont="1" applyFill="1"/>
    <xf numFmtId="172" fontId="0" fillId="2" borderId="0" xfId="1" applyNumberFormat="1" applyFont="1" applyFill="1"/>
    <xf numFmtId="44" fontId="0" fillId="2" borderId="0" xfId="0" applyNumberFormat="1" applyFill="1"/>
    <xf numFmtId="10" fontId="0" fillId="2" borderId="0" xfId="0" applyNumberFormat="1" applyFill="1"/>
    <xf numFmtId="0" fontId="0" fillId="2" borderId="0" xfId="0" applyFill="1" applyProtection="1">
      <protection locked="0"/>
    </xf>
    <xf numFmtId="0" fontId="3" fillId="2" borderId="0" xfId="0" applyFont="1" applyFill="1" applyProtection="1">
      <protection locked="0"/>
    </xf>
    <xf numFmtId="0" fontId="4" fillId="2" borderId="0" xfId="0" applyFont="1" applyFill="1" applyProtection="1">
      <protection locked="0"/>
    </xf>
    <xf numFmtId="0" fontId="2" fillId="2" borderId="0" xfId="0" applyFont="1" applyFill="1" applyProtection="1">
      <protection locked="0"/>
    </xf>
    <xf numFmtId="44" fontId="2" fillId="3" borderId="0" xfId="2" applyFont="1" applyFill="1" applyProtection="1">
      <protection locked="0"/>
    </xf>
    <xf numFmtId="0" fontId="2" fillId="3" borderId="0" xfId="0" applyFont="1" applyFill="1" applyProtection="1">
      <protection locked="0"/>
    </xf>
    <xf numFmtId="44" fontId="2" fillId="3" borderId="0" xfId="0" applyNumberFormat="1" applyFont="1" applyFill="1" applyProtection="1">
      <protection locked="0"/>
    </xf>
    <xf numFmtId="44" fontId="5" fillId="2" borderId="0" xfId="2" applyFont="1" applyFill="1" applyProtection="1">
      <protection locked="0"/>
    </xf>
    <xf numFmtId="44" fontId="2" fillId="2" borderId="0" xfId="0" applyNumberFormat="1" applyFont="1" applyFill="1" applyProtection="1">
      <protection locked="0"/>
    </xf>
    <xf numFmtId="174" fontId="2" fillId="2" borderId="0" xfId="3" applyNumberFormat="1" applyFont="1" applyFill="1" applyProtection="1">
      <protection locked="0"/>
    </xf>
    <xf numFmtId="0" fontId="0" fillId="3" borderId="0" xfId="0" applyFill="1" applyAlignment="1" applyProtection="1">
      <alignment horizontal="left"/>
      <protection locked="0"/>
    </xf>
    <xf numFmtId="44" fontId="0" fillId="3" borderId="0" xfId="2" applyFont="1" applyFill="1" applyProtection="1">
      <protection locked="0"/>
    </xf>
    <xf numFmtId="0" fontId="0" fillId="3" borderId="0" xfId="0" applyNumberFormat="1" applyFill="1" applyProtection="1">
      <protection locked="0"/>
    </xf>
    <xf numFmtId="174" fontId="0" fillId="2" borderId="0" xfId="3" applyNumberFormat="1" applyFont="1" applyFill="1" applyProtection="1">
      <protection locked="0"/>
    </xf>
    <xf numFmtId="172" fontId="0" fillId="2" borderId="0" xfId="1" applyNumberFormat="1" applyFont="1" applyFill="1" applyProtection="1">
      <protection locked="0"/>
    </xf>
    <xf numFmtId="44" fontId="0" fillId="2" borderId="0" xfId="0" applyNumberFormat="1" applyFill="1" applyProtection="1">
      <protection locked="0"/>
    </xf>
    <xf numFmtId="10" fontId="0" fillId="2" borderId="0" xfId="0" applyNumberFormat="1" applyFill="1" applyProtection="1">
      <protection locked="0"/>
    </xf>
  </cellXfs>
  <cellStyles count="4">
    <cellStyle name="Comma" xfId="1" builtinId="3"/>
    <cellStyle name="Currency" xfId="2" builtinId="4"/>
    <cellStyle name="Normal" xfId="0" builtinId="0"/>
    <cellStyle name="Per cent" xfId="3" builtinId="5"/>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s>
  <tableStyles count="1" defaultTableStyle="TableStyleMedium2" defaultPivotStyle="PivotStyleLight16">
    <tableStyle name="Invisible" pivot="0" table="0" count="0" xr9:uid="{187EF8DE-A426-4138-9E76-77A8B8977817}"/>
  </tableStyles>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Value</a:t>
            </a:r>
            <a:r>
              <a:rPr lang="en-US" baseline="0"/>
              <a:t> per month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Pivots!$B$30</c:f>
              <c:strCache>
                <c:ptCount val="1"/>
                <c:pt idx="0">
                  <c:v>Total</c:v>
                </c:pt>
              </c:strCache>
            </c:strRef>
          </c:tx>
          <c:spPr>
            <a:ln w="28575" cap="rnd">
              <a:solidFill>
                <a:schemeClr val="accent1"/>
              </a:solidFill>
              <a:round/>
            </a:ln>
            <a:effectLst/>
          </c:spPr>
          <c:marker>
            <c:symbol val="none"/>
          </c:marker>
          <c:cat>
            <c:strRef>
              <c:f>Pivots!$A$31:$A$43</c:f>
              <c:strCache>
                <c:ptCount val="12"/>
                <c:pt idx="0">
                  <c:v>jan</c:v>
                </c:pt>
                <c:pt idx="1">
                  <c:v>feb</c:v>
                </c:pt>
                <c:pt idx="2">
                  <c:v>mrt</c:v>
                </c:pt>
                <c:pt idx="3">
                  <c:v>apr</c:v>
                </c:pt>
                <c:pt idx="4">
                  <c:v>mei</c:v>
                </c:pt>
                <c:pt idx="5">
                  <c:v>jun</c:v>
                </c:pt>
                <c:pt idx="6">
                  <c:v>jul</c:v>
                </c:pt>
                <c:pt idx="7">
                  <c:v>aug</c:v>
                </c:pt>
                <c:pt idx="8">
                  <c:v>sep</c:v>
                </c:pt>
                <c:pt idx="9">
                  <c:v>okt</c:v>
                </c:pt>
                <c:pt idx="10">
                  <c:v>nov</c:v>
                </c:pt>
                <c:pt idx="11">
                  <c:v>dec</c:v>
                </c:pt>
              </c:strCache>
            </c:strRef>
          </c:cat>
          <c:val>
            <c:numRef>
              <c:f>Pivots!$B$31:$B$43</c:f>
              <c:numCache>
                <c:formatCode>General</c:formatCode>
                <c:ptCount val="12"/>
                <c:pt idx="0">
                  <c:v>720956.38999999966</c:v>
                </c:pt>
                <c:pt idx="1">
                  <c:v>653542.39999999979</c:v>
                </c:pt>
                <c:pt idx="2">
                  <c:v>658241.39000000013</c:v>
                </c:pt>
                <c:pt idx="3">
                  <c:v>770811.08999999985</c:v>
                </c:pt>
                <c:pt idx="4">
                  <c:v>724605.46999999986</c:v>
                </c:pt>
                <c:pt idx="5">
                  <c:v>790663.28</c:v>
                </c:pt>
                <c:pt idx="6">
                  <c:v>729540.02000000014</c:v>
                </c:pt>
                <c:pt idx="7">
                  <c:v>798333.34</c:v>
                </c:pt>
                <c:pt idx="8">
                  <c:v>626989.61</c:v>
                </c:pt>
                <c:pt idx="9">
                  <c:v>816977.53</c:v>
                </c:pt>
                <c:pt idx="10">
                  <c:v>808580.90000000061</c:v>
                </c:pt>
                <c:pt idx="11">
                  <c:v>804899.41000000027</c:v>
                </c:pt>
              </c:numCache>
            </c:numRef>
          </c:val>
          <c:smooth val="0"/>
          <c:extLst>
            <c:ext xmlns:c16="http://schemas.microsoft.com/office/drawing/2014/chart" uri="{C3380CC4-5D6E-409C-BE32-E72D297353CC}">
              <c16:uniqueId val="{00000003-DA3D-4CE3-9559-59216502C294}"/>
            </c:ext>
          </c:extLst>
        </c:ser>
        <c:dLbls>
          <c:showLegendKey val="0"/>
          <c:showVal val="0"/>
          <c:showCatName val="0"/>
          <c:showSerName val="0"/>
          <c:showPercent val="0"/>
          <c:showBubbleSize val="0"/>
        </c:dLbls>
        <c:smooth val="0"/>
        <c:axId val="185975392"/>
        <c:axId val="185972032"/>
      </c:lineChart>
      <c:catAx>
        <c:axId val="1859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85972032"/>
        <c:crosses val="autoZero"/>
        <c:auto val="1"/>
        <c:lblAlgn val="ctr"/>
        <c:lblOffset val="100"/>
        <c:noMultiLvlLbl val="0"/>
      </c:catAx>
      <c:valAx>
        <c:axId val="18597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859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Value</a:t>
            </a:r>
            <a:r>
              <a:rPr lang="en-US" baseline="0"/>
              <a:t> per month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Pivots!$B$30</c:f>
              <c:strCache>
                <c:ptCount val="1"/>
                <c:pt idx="0">
                  <c:v>Total</c:v>
                </c:pt>
              </c:strCache>
            </c:strRef>
          </c:tx>
          <c:spPr>
            <a:ln w="28575" cap="rnd">
              <a:solidFill>
                <a:schemeClr val="accent1"/>
              </a:solidFill>
              <a:round/>
            </a:ln>
            <a:effectLst/>
          </c:spPr>
          <c:marker>
            <c:symbol val="none"/>
          </c:marker>
          <c:cat>
            <c:strRef>
              <c:f>Pivots!$A$31:$A$43</c:f>
              <c:strCache>
                <c:ptCount val="12"/>
                <c:pt idx="0">
                  <c:v>jan</c:v>
                </c:pt>
                <c:pt idx="1">
                  <c:v>feb</c:v>
                </c:pt>
                <c:pt idx="2">
                  <c:v>mrt</c:v>
                </c:pt>
                <c:pt idx="3">
                  <c:v>apr</c:v>
                </c:pt>
                <c:pt idx="4">
                  <c:v>mei</c:v>
                </c:pt>
                <c:pt idx="5">
                  <c:v>jun</c:v>
                </c:pt>
                <c:pt idx="6">
                  <c:v>jul</c:v>
                </c:pt>
                <c:pt idx="7">
                  <c:v>aug</c:v>
                </c:pt>
                <c:pt idx="8">
                  <c:v>sep</c:v>
                </c:pt>
                <c:pt idx="9">
                  <c:v>okt</c:v>
                </c:pt>
                <c:pt idx="10">
                  <c:v>nov</c:v>
                </c:pt>
                <c:pt idx="11">
                  <c:v>dec</c:v>
                </c:pt>
              </c:strCache>
            </c:strRef>
          </c:cat>
          <c:val>
            <c:numRef>
              <c:f>Pivots!$B$31:$B$43</c:f>
              <c:numCache>
                <c:formatCode>General</c:formatCode>
                <c:ptCount val="12"/>
                <c:pt idx="0">
                  <c:v>720956.38999999966</c:v>
                </c:pt>
                <c:pt idx="1">
                  <c:v>653542.39999999979</c:v>
                </c:pt>
                <c:pt idx="2">
                  <c:v>658241.39000000013</c:v>
                </c:pt>
                <c:pt idx="3">
                  <c:v>770811.08999999985</c:v>
                </c:pt>
                <c:pt idx="4">
                  <c:v>724605.46999999986</c:v>
                </c:pt>
                <c:pt idx="5">
                  <c:v>790663.28</c:v>
                </c:pt>
                <c:pt idx="6">
                  <c:v>729540.02000000014</c:v>
                </c:pt>
                <c:pt idx="7">
                  <c:v>798333.34</c:v>
                </c:pt>
                <c:pt idx="8">
                  <c:v>626989.61</c:v>
                </c:pt>
                <c:pt idx="9">
                  <c:v>816977.53</c:v>
                </c:pt>
                <c:pt idx="10">
                  <c:v>808580.90000000061</c:v>
                </c:pt>
                <c:pt idx="11">
                  <c:v>804899.41000000027</c:v>
                </c:pt>
              </c:numCache>
            </c:numRef>
          </c:val>
          <c:smooth val="0"/>
          <c:extLst>
            <c:ext xmlns:c16="http://schemas.microsoft.com/office/drawing/2014/chart" uri="{C3380CC4-5D6E-409C-BE32-E72D297353CC}">
              <c16:uniqueId val="{00000000-9C7F-4050-ADD0-44EDEE9DD880}"/>
            </c:ext>
          </c:extLst>
        </c:ser>
        <c:dLbls>
          <c:showLegendKey val="0"/>
          <c:showVal val="0"/>
          <c:showCatName val="0"/>
          <c:showSerName val="0"/>
          <c:showPercent val="0"/>
          <c:showBubbleSize val="0"/>
        </c:dLbls>
        <c:smooth val="0"/>
        <c:axId val="185975392"/>
        <c:axId val="185972032"/>
      </c:lineChart>
      <c:catAx>
        <c:axId val="1859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85972032"/>
        <c:crosses val="autoZero"/>
        <c:auto val="1"/>
        <c:lblAlgn val="ctr"/>
        <c:lblOffset val="100"/>
        <c:noMultiLvlLbl val="0"/>
      </c:catAx>
      <c:valAx>
        <c:axId val="18597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859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Value</a:t>
            </a:r>
            <a:r>
              <a:rPr lang="en-US" baseline="0"/>
              <a:t> per month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Pivots!$B$30</c:f>
              <c:strCache>
                <c:ptCount val="1"/>
                <c:pt idx="0">
                  <c:v>Total</c:v>
                </c:pt>
              </c:strCache>
            </c:strRef>
          </c:tx>
          <c:spPr>
            <a:ln w="28575" cap="rnd">
              <a:solidFill>
                <a:schemeClr val="accent1"/>
              </a:solidFill>
              <a:round/>
            </a:ln>
            <a:effectLst/>
          </c:spPr>
          <c:marker>
            <c:symbol val="none"/>
          </c:marker>
          <c:cat>
            <c:strRef>
              <c:f>Pivots!$A$31:$A$43</c:f>
              <c:strCache>
                <c:ptCount val="12"/>
                <c:pt idx="0">
                  <c:v>jan</c:v>
                </c:pt>
                <c:pt idx="1">
                  <c:v>feb</c:v>
                </c:pt>
                <c:pt idx="2">
                  <c:v>mrt</c:v>
                </c:pt>
                <c:pt idx="3">
                  <c:v>apr</c:v>
                </c:pt>
                <c:pt idx="4">
                  <c:v>mei</c:v>
                </c:pt>
                <c:pt idx="5">
                  <c:v>jun</c:v>
                </c:pt>
                <c:pt idx="6">
                  <c:v>jul</c:v>
                </c:pt>
                <c:pt idx="7">
                  <c:v>aug</c:v>
                </c:pt>
                <c:pt idx="8">
                  <c:v>sep</c:v>
                </c:pt>
                <c:pt idx="9">
                  <c:v>okt</c:v>
                </c:pt>
                <c:pt idx="10">
                  <c:v>nov</c:v>
                </c:pt>
                <c:pt idx="11">
                  <c:v>dec</c:v>
                </c:pt>
              </c:strCache>
            </c:strRef>
          </c:cat>
          <c:val>
            <c:numRef>
              <c:f>Pivots!$B$31:$B$43</c:f>
              <c:numCache>
                <c:formatCode>General</c:formatCode>
                <c:ptCount val="12"/>
                <c:pt idx="0">
                  <c:v>720956.38999999966</c:v>
                </c:pt>
                <c:pt idx="1">
                  <c:v>653542.39999999979</c:v>
                </c:pt>
                <c:pt idx="2">
                  <c:v>658241.39000000013</c:v>
                </c:pt>
                <c:pt idx="3">
                  <c:v>770811.08999999985</c:v>
                </c:pt>
                <c:pt idx="4">
                  <c:v>724605.46999999986</c:v>
                </c:pt>
                <c:pt idx="5">
                  <c:v>790663.28</c:v>
                </c:pt>
                <c:pt idx="6">
                  <c:v>729540.02000000014</c:v>
                </c:pt>
                <c:pt idx="7">
                  <c:v>798333.34</c:v>
                </c:pt>
                <c:pt idx="8">
                  <c:v>626989.61</c:v>
                </c:pt>
                <c:pt idx="9">
                  <c:v>816977.53</c:v>
                </c:pt>
                <c:pt idx="10">
                  <c:v>808580.90000000061</c:v>
                </c:pt>
                <c:pt idx="11">
                  <c:v>804899.41000000027</c:v>
                </c:pt>
              </c:numCache>
            </c:numRef>
          </c:val>
          <c:smooth val="0"/>
          <c:extLst>
            <c:ext xmlns:c16="http://schemas.microsoft.com/office/drawing/2014/chart" uri="{C3380CC4-5D6E-409C-BE32-E72D297353CC}">
              <c16:uniqueId val="{00000000-9EA0-4C62-A05E-450F0F1C1E2F}"/>
            </c:ext>
          </c:extLst>
        </c:ser>
        <c:dLbls>
          <c:showLegendKey val="0"/>
          <c:showVal val="0"/>
          <c:showCatName val="0"/>
          <c:showSerName val="0"/>
          <c:showPercent val="0"/>
          <c:showBubbleSize val="0"/>
        </c:dLbls>
        <c:smooth val="0"/>
        <c:axId val="185975392"/>
        <c:axId val="185972032"/>
      </c:lineChart>
      <c:catAx>
        <c:axId val="1859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85972032"/>
        <c:crosses val="autoZero"/>
        <c:auto val="1"/>
        <c:lblAlgn val="ctr"/>
        <c:lblOffset val="100"/>
        <c:noMultiLvlLbl val="0"/>
      </c:catAx>
      <c:valAx>
        <c:axId val="18597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859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0</xdr:rowOff>
    </xdr:from>
    <xdr:to>
      <xdr:col>4</xdr:col>
      <xdr:colOff>714375</xdr:colOff>
      <xdr:row>22</xdr:row>
      <xdr:rowOff>26670</xdr:rowOff>
    </xdr:to>
    <xdr:graphicFrame macro="">
      <xdr:nvGraphicFramePr>
        <xdr:cNvPr id="2" name="Chart 1">
          <a:extLst>
            <a:ext uri="{FF2B5EF4-FFF2-40B4-BE49-F238E27FC236}">
              <a16:creationId xmlns:a16="http://schemas.microsoft.com/office/drawing/2014/main" id="{5D35B999-B4F1-48EF-9431-2503C368A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1121099</xdr:colOff>
      <xdr:row>7</xdr:row>
      <xdr:rowOff>-1</xdr:rowOff>
    </xdr:from>
    <xdr:to>
      <xdr:col>6</xdr:col>
      <xdr:colOff>936930</xdr:colOff>
      <xdr:row>15</xdr:row>
      <xdr:rowOff>55315</xdr:rowOff>
    </xdr:to>
    <mc:AlternateContent xmlns:mc="http://schemas.openxmlformats.org/markup-compatibility/2006">
      <mc:Choice xmlns:a14="http://schemas.microsoft.com/office/drawing/2010/main" Requires="a14">
        <xdr:graphicFrame macro="">
          <xdr:nvGraphicFramePr>
            <xdr:cNvPr id="3" name="Segment 1">
              <a:extLst>
                <a:ext uri="{FF2B5EF4-FFF2-40B4-BE49-F238E27FC236}">
                  <a16:creationId xmlns:a16="http://schemas.microsoft.com/office/drawing/2014/main" id="{08B4D88F-195E-473A-B496-DE4AEA8E599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5711020" y="1611018"/>
              <a:ext cx="2371730" cy="1470237"/>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98213</xdr:colOff>
      <xdr:row>6</xdr:row>
      <xdr:rowOff>172578</xdr:rowOff>
    </xdr:from>
    <xdr:to>
      <xdr:col>9</xdr:col>
      <xdr:colOff>398239</xdr:colOff>
      <xdr:row>15</xdr:row>
      <xdr:rowOff>58796</xdr:rowOff>
    </xdr:to>
    <mc:AlternateContent xmlns:mc="http://schemas.openxmlformats.org/markup-compatibility/2006">
      <mc:Choice xmlns:a14="http://schemas.microsoft.com/office/drawing/2010/main" Requires="a14">
        <xdr:graphicFrame macro="">
          <xdr:nvGraphicFramePr>
            <xdr:cNvPr id="5" name="Regions 1">
              <a:extLst>
                <a:ext uri="{FF2B5EF4-FFF2-40B4-BE49-F238E27FC236}">
                  <a16:creationId xmlns:a16="http://schemas.microsoft.com/office/drawing/2014/main" id="{5100F0FD-FA5A-4D50-BD97-DB11D35C0D39}"/>
                </a:ext>
              </a:extLst>
            </xdr:cNvPr>
            <xdr:cNvGraphicFramePr/>
          </xdr:nvGraphicFramePr>
          <xdr:xfrm>
            <a:off x="0" y="0"/>
            <a:ext cx="0" cy="0"/>
          </xdr:xfrm>
          <a:graphic>
            <a:graphicData uri="http://schemas.microsoft.com/office/drawing/2010/slicer">
              <sle:slicer xmlns:sle="http://schemas.microsoft.com/office/drawing/2010/slicer" name="Regions 1"/>
            </a:graphicData>
          </a:graphic>
        </xdr:graphicFrame>
      </mc:Choice>
      <mc:Fallback>
        <xdr:sp macro="" textlink="">
          <xdr:nvSpPr>
            <xdr:cNvPr id="0" name=""/>
            <xdr:cNvSpPr>
              <a:spLocks noTextEdit="1"/>
            </xdr:cNvSpPr>
          </xdr:nvSpPr>
          <xdr:spPr>
            <a:xfrm>
              <a:off x="9807551" y="1603398"/>
              <a:ext cx="1589405" cy="1473718"/>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936601</xdr:colOff>
      <xdr:row>6</xdr:row>
      <xdr:rowOff>174485</xdr:rowOff>
    </xdr:from>
    <xdr:to>
      <xdr:col>8</xdr:col>
      <xdr:colOff>92540</xdr:colOff>
      <xdr:row>15</xdr:row>
      <xdr:rowOff>55314</xdr:rowOff>
    </xdr:to>
    <mc:AlternateContent xmlns:mc="http://schemas.openxmlformats.org/markup-compatibility/2006">
      <mc:Choice xmlns:a14="http://schemas.microsoft.com/office/drawing/2010/main" Requires="a14">
        <xdr:graphicFrame macro="">
          <xdr:nvGraphicFramePr>
            <xdr:cNvPr id="6" name="Channel 1">
              <a:extLst>
                <a:ext uri="{FF2B5EF4-FFF2-40B4-BE49-F238E27FC236}">
                  <a16:creationId xmlns:a16="http://schemas.microsoft.com/office/drawing/2014/main" id="{D99A15B7-6EEE-497E-B0A9-0795D05FF7D7}"/>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8082421" y="1605305"/>
              <a:ext cx="1727077" cy="1475949"/>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45</xdr:row>
      <xdr:rowOff>0</xdr:rowOff>
    </xdr:from>
    <xdr:to>
      <xdr:col>4</xdr:col>
      <xdr:colOff>714375</xdr:colOff>
      <xdr:row>60</xdr:row>
      <xdr:rowOff>26670</xdr:rowOff>
    </xdr:to>
    <xdr:graphicFrame macro="">
      <xdr:nvGraphicFramePr>
        <xdr:cNvPr id="7" name="Chart 6">
          <a:extLst>
            <a:ext uri="{FF2B5EF4-FFF2-40B4-BE49-F238E27FC236}">
              <a16:creationId xmlns:a16="http://schemas.microsoft.com/office/drawing/2014/main" id="{B121336B-935C-4FA2-9741-5D5217BFD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1121099</xdr:colOff>
      <xdr:row>45</xdr:row>
      <xdr:rowOff>-1</xdr:rowOff>
    </xdr:from>
    <xdr:ext cx="2375540" cy="1477857"/>
    <mc:AlternateContent xmlns:mc="http://schemas.openxmlformats.org/markup-compatibility/2006">
      <mc:Choice xmlns:a14="http://schemas.microsoft.com/office/drawing/2010/main" Requires="a14">
        <xdr:graphicFrame macro="">
          <xdr:nvGraphicFramePr>
            <xdr:cNvPr id="8" name="Segment 2">
              <a:extLst>
                <a:ext uri="{FF2B5EF4-FFF2-40B4-BE49-F238E27FC236}">
                  <a16:creationId xmlns:a16="http://schemas.microsoft.com/office/drawing/2014/main" id="{28BC444F-F08B-4F43-ADC6-E13D27222984}"/>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5711020" y="8854721"/>
              <a:ext cx="2375540" cy="1477857"/>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98213</xdr:colOff>
      <xdr:row>44</xdr:row>
      <xdr:rowOff>172578</xdr:rowOff>
    </xdr:from>
    <xdr:ext cx="1593215" cy="1477528"/>
    <mc:AlternateContent xmlns:mc="http://schemas.openxmlformats.org/markup-compatibility/2006">
      <mc:Choice xmlns:a14="http://schemas.microsoft.com/office/drawing/2010/main" Requires="a14">
        <xdr:graphicFrame macro="">
          <xdr:nvGraphicFramePr>
            <xdr:cNvPr id="9" name="Regions 2">
              <a:extLst>
                <a:ext uri="{FF2B5EF4-FFF2-40B4-BE49-F238E27FC236}">
                  <a16:creationId xmlns:a16="http://schemas.microsoft.com/office/drawing/2014/main" id="{094C591B-7EE3-4155-A8C5-ACAB071AC9CF}"/>
                </a:ext>
              </a:extLst>
            </xdr:cNvPr>
            <xdr:cNvGraphicFramePr/>
          </xdr:nvGraphicFramePr>
          <xdr:xfrm>
            <a:off x="0" y="0"/>
            <a:ext cx="0" cy="0"/>
          </xdr:xfrm>
          <a:graphic>
            <a:graphicData uri="http://schemas.microsoft.com/office/drawing/2010/slicer">
              <sle:slicer xmlns:sle="http://schemas.microsoft.com/office/drawing/2010/slicer" name="Regions 2"/>
            </a:graphicData>
          </a:graphic>
        </xdr:graphicFrame>
      </mc:Choice>
      <mc:Fallback>
        <xdr:sp macro="" textlink="">
          <xdr:nvSpPr>
            <xdr:cNvPr id="0" name=""/>
            <xdr:cNvSpPr>
              <a:spLocks noTextEdit="1"/>
            </xdr:cNvSpPr>
          </xdr:nvSpPr>
          <xdr:spPr>
            <a:xfrm>
              <a:off x="9807551" y="8847101"/>
              <a:ext cx="1593215" cy="1477528"/>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6</xdr:col>
      <xdr:colOff>936601</xdr:colOff>
      <xdr:row>44</xdr:row>
      <xdr:rowOff>174485</xdr:rowOff>
    </xdr:from>
    <xdr:ext cx="1723267" cy="1483569"/>
    <mc:AlternateContent xmlns:mc="http://schemas.openxmlformats.org/markup-compatibility/2006">
      <mc:Choice xmlns:a14="http://schemas.microsoft.com/office/drawing/2010/main" Requires="a14">
        <xdr:graphicFrame macro="">
          <xdr:nvGraphicFramePr>
            <xdr:cNvPr id="10" name="Channel 2">
              <a:extLst>
                <a:ext uri="{FF2B5EF4-FFF2-40B4-BE49-F238E27FC236}">
                  <a16:creationId xmlns:a16="http://schemas.microsoft.com/office/drawing/2014/main" id="{C2537D82-7765-4DB5-B493-6C348076420D}"/>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dr:sp macro="" textlink="">
          <xdr:nvSpPr>
            <xdr:cNvPr id="0" name=""/>
            <xdr:cNvSpPr>
              <a:spLocks noTextEdit="1"/>
            </xdr:cNvSpPr>
          </xdr:nvSpPr>
          <xdr:spPr>
            <a:xfrm>
              <a:off x="8082421" y="8849008"/>
              <a:ext cx="1723267" cy="1483569"/>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xdr:col>
      <xdr:colOff>0</xdr:colOff>
      <xdr:row>7</xdr:row>
      <xdr:rowOff>0</xdr:rowOff>
    </xdr:from>
    <xdr:to>
      <xdr:col>4</xdr:col>
      <xdr:colOff>714375</xdr:colOff>
      <xdr:row>22</xdr:row>
      <xdr:rowOff>26670</xdr:rowOff>
    </xdr:to>
    <xdr:graphicFrame macro="">
      <xdr:nvGraphicFramePr>
        <xdr:cNvPr id="11" name="Chart 10">
          <a:extLst>
            <a:ext uri="{FF2B5EF4-FFF2-40B4-BE49-F238E27FC236}">
              <a16:creationId xmlns:a16="http://schemas.microsoft.com/office/drawing/2014/main" id="{8F20BD2F-7F40-47B6-A9FD-8866735FB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1121099</xdr:colOff>
      <xdr:row>7</xdr:row>
      <xdr:rowOff>-1</xdr:rowOff>
    </xdr:from>
    <xdr:ext cx="2371730" cy="1475952"/>
    <mc:AlternateContent xmlns:mc="http://schemas.openxmlformats.org/markup-compatibility/2006">
      <mc:Choice xmlns:a14="http://schemas.microsoft.com/office/drawing/2010/main" Requires="a14">
        <xdr:graphicFrame macro="">
          <xdr:nvGraphicFramePr>
            <xdr:cNvPr id="12" name="Segment 3">
              <a:extLst>
                <a:ext uri="{FF2B5EF4-FFF2-40B4-BE49-F238E27FC236}">
                  <a16:creationId xmlns:a16="http://schemas.microsoft.com/office/drawing/2014/main" id="{DF0982ED-E3FC-4327-8FAC-B4915E3664C6}"/>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5711020" y="1611018"/>
              <a:ext cx="2371730" cy="1475952"/>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98213</xdr:colOff>
      <xdr:row>6</xdr:row>
      <xdr:rowOff>172578</xdr:rowOff>
    </xdr:from>
    <xdr:ext cx="1589405" cy="1473718"/>
    <mc:AlternateContent xmlns:mc="http://schemas.openxmlformats.org/markup-compatibility/2006">
      <mc:Choice xmlns:a14="http://schemas.microsoft.com/office/drawing/2010/main" Requires="a14">
        <xdr:graphicFrame macro="">
          <xdr:nvGraphicFramePr>
            <xdr:cNvPr id="13" name="Regions 3">
              <a:extLst>
                <a:ext uri="{FF2B5EF4-FFF2-40B4-BE49-F238E27FC236}">
                  <a16:creationId xmlns:a16="http://schemas.microsoft.com/office/drawing/2014/main" id="{E5527215-409A-4AD3-885B-941AE52B8432}"/>
                </a:ext>
              </a:extLst>
            </xdr:cNvPr>
            <xdr:cNvGraphicFramePr/>
          </xdr:nvGraphicFramePr>
          <xdr:xfrm>
            <a:off x="0" y="0"/>
            <a:ext cx="0" cy="0"/>
          </xdr:xfrm>
          <a:graphic>
            <a:graphicData uri="http://schemas.microsoft.com/office/drawing/2010/slicer">
              <sle:slicer xmlns:sle="http://schemas.microsoft.com/office/drawing/2010/slicer" name="Regions 3"/>
            </a:graphicData>
          </a:graphic>
        </xdr:graphicFrame>
      </mc:Choice>
      <mc:Fallback>
        <xdr:sp macro="" textlink="">
          <xdr:nvSpPr>
            <xdr:cNvPr id="0" name=""/>
            <xdr:cNvSpPr>
              <a:spLocks noTextEdit="1"/>
            </xdr:cNvSpPr>
          </xdr:nvSpPr>
          <xdr:spPr>
            <a:xfrm>
              <a:off x="9807551" y="1603398"/>
              <a:ext cx="1589405" cy="1473718"/>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6</xdr:col>
      <xdr:colOff>936601</xdr:colOff>
      <xdr:row>6</xdr:row>
      <xdr:rowOff>174485</xdr:rowOff>
    </xdr:from>
    <xdr:ext cx="1727077" cy="1481664"/>
    <mc:AlternateContent xmlns:mc="http://schemas.openxmlformats.org/markup-compatibility/2006">
      <mc:Choice xmlns:a14="http://schemas.microsoft.com/office/drawing/2010/main" Requires="a14">
        <xdr:graphicFrame macro="">
          <xdr:nvGraphicFramePr>
            <xdr:cNvPr id="14" name="Channel 3">
              <a:extLst>
                <a:ext uri="{FF2B5EF4-FFF2-40B4-BE49-F238E27FC236}">
                  <a16:creationId xmlns:a16="http://schemas.microsoft.com/office/drawing/2014/main" id="{DBDCF531-8CCB-403E-BE58-D60E9C199236}"/>
                </a:ext>
              </a:extLst>
            </xdr:cNvPr>
            <xdr:cNvGraphicFramePr/>
          </xdr:nvGraphicFramePr>
          <xdr:xfrm>
            <a:off x="0" y="0"/>
            <a:ext cx="0" cy="0"/>
          </xdr:xfrm>
          <a:graphic>
            <a:graphicData uri="http://schemas.microsoft.com/office/drawing/2010/slicer">
              <sle:slicer xmlns:sle="http://schemas.microsoft.com/office/drawing/2010/slicer" name="Channel 3"/>
            </a:graphicData>
          </a:graphic>
        </xdr:graphicFrame>
      </mc:Choice>
      <mc:Fallback>
        <xdr:sp macro="" textlink="">
          <xdr:nvSpPr>
            <xdr:cNvPr id="0" name=""/>
            <xdr:cNvSpPr>
              <a:spLocks noTextEdit="1"/>
            </xdr:cNvSpPr>
          </xdr:nvSpPr>
          <xdr:spPr>
            <a:xfrm>
              <a:off x="8082421" y="1605305"/>
              <a:ext cx="1727077" cy="1481664"/>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9</xdr:col>
      <xdr:colOff>358140</xdr:colOff>
      <xdr:row>28</xdr:row>
      <xdr:rowOff>167640</xdr:rowOff>
    </xdr:from>
    <xdr:to>
      <xdr:col>10</xdr:col>
      <xdr:colOff>1160145</xdr:colOff>
      <xdr:row>37</xdr:row>
      <xdr:rowOff>17145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A6E6551E-C666-5161-5087-B282E22425B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220200" y="5238750"/>
              <a:ext cx="1840230" cy="1478280"/>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773430</xdr:colOff>
      <xdr:row>26</xdr:row>
      <xdr:rowOff>169545</xdr:rowOff>
    </xdr:from>
    <xdr:to>
      <xdr:col>8</xdr:col>
      <xdr:colOff>1253490</xdr:colOff>
      <xdr:row>41</xdr:row>
      <xdr:rowOff>53340</xdr:rowOff>
    </xdr:to>
    <mc:AlternateContent xmlns:mc="http://schemas.openxmlformats.org/markup-compatibility/2006">
      <mc:Choice xmlns:a14="http://schemas.microsoft.com/office/drawing/2010/main" Requires="a14">
        <xdr:graphicFrame macro="">
          <xdr:nvGraphicFramePr>
            <xdr:cNvPr id="6" name="Regions">
              <a:extLst>
                <a:ext uri="{FF2B5EF4-FFF2-40B4-BE49-F238E27FC236}">
                  <a16:creationId xmlns:a16="http://schemas.microsoft.com/office/drawing/2014/main" id="{ABEC589A-1FB8-CD41-EF5E-EF1941DF61F0}"/>
                </a:ext>
              </a:extLst>
            </xdr:cNvPr>
            <xdr:cNvGraphicFramePr/>
          </xdr:nvGraphicFramePr>
          <xdr:xfrm>
            <a:off x="0" y="0"/>
            <a:ext cx="0" cy="0"/>
          </xdr:xfrm>
          <a:graphic>
            <a:graphicData uri="http://schemas.microsoft.com/office/drawing/2010/slicer">
              <sle:slicer xmlns:sle="http://schemas.microsoft.com/office/drawing/2010/slicer" name="Regions"/>
            </a:graphicData>
          </a:graphic>
        </xdr:graphicFrame>
      </mc:Choice>
      <mc:Fallback>
        <xdr:sp macro="" textlink="">
          <xdr:nvSpPr>
            <xdr:cNvPr id="0" name=""/>
            <xdr:cNvSpPr>
              <a:spLocks noTextEdit="1"/>
            </xdr:cNvSpPr>
          </xdr:nvSpPr>
          <xdr:spPr>
            <a:xfrm>
              <a:off x="6958965" y="4878705"/>
              <a:ext cx="1828800" cy="2598420"/>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582930</xdr:colOff>
      <xdr:row>28</xdr:row>
      <xdr:rowOff>131445</xdr:rowOff>
    </xdr:from>
    <xdr:to>
      <xdr:col>13</xdr:col>
      <xdr:colOff>285750</xdr:colOff>
      <xdr:row>43</xdr:row>
      <xdr:rowOff>15240</xdr:rowOff>
    </xdr:to>
    <mc:AlternateContent xmlns:mc="http://schemas.openxmlformats.org/markup-compatibility/2006">
      <mc:Choice xmlns:a14="http://schemas.microsoft.com/office/drawing/2010/main" Requires="a14">
        <xdr:graphicFrame macro="">
          <xdr:nvGraphicFramePr>
            <xdr:cNvPr id="7" name="Channel">
              <a:extLst>
                <a:ext uri="{FF2B5EF4-FFF2-40B4-BE49-F238E27FC236}">
                  <a16:creationId xmlns:a16="http://schemas.microsoft.com/office/drawing/2014/main" id="{A57AE756-C292-4E0A-A299-A81C5FBACD64}"/>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2140565" y="5202555"/>
              <a:ext cx="1819275" cy="2598420"/>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m Ekkelenkamp" refreshedDate="46323.434758680552" createdVersion="8" refreshedVersion="8" minRefreshableVersion="3" recordCount="1166" xr:uid="{9E05C612-8DE0-4804-9AF1-78DFF0B4E36D}">
  <cacheSource type="worksheet">
    <worksheetSource name="FactSales"/>
  </cacheSource>
  <cacheFields count="19">
    <cacheField name="OrderID" numFmtId="0">
      <sharedItems containsSemiMixedTypes="0" containsString="0" containsNumber="1" containsInteger="1" minValue="202400001" maxValue="202401200"/>
    </cacheField>
    <cacheField name="OrderDate" numFmtId="14">
      <sharedItems containsSemiMixedTypes="0" containsNonDate="0" containsDate="1" containsString="0" minDate="2024-01-01T00:00:00" maxDate="2024-12-31T00:00:00" count="353">
        <d v="2024-11-30T00:00:00"/>
        <d v="2024-10-18T00:00:00"/>
        <d v="2024-05-31T00:00:00"/>
        <d v="2024-01-19T00:00:00"/>
        <d v="2024-08-04T00:00:00"/>
        <d v="2024-10-11T00:00:00"/>
        <d v="2024-09-27T00:00:00"/>
        <d v="2024-12-30T00:00:00"/>
        <d v="2024-03-31T00:00:00"/>
        <d v="2024-01-30T00:00:00"/>
        <d v="2024-11-08T00:00:00"/>
        <d v="2024-02-18T00:00:00"/>
        <d v="2024-10-15T00:00:00"/>
        <d v="2024-06-08T00:00:00"/>
        <d v="2024-09-16T00:00:00"/>
        <d v="2024-11-21T00:00:00"/>
        <d v="2024-07-14T00:00:00"/>
        <d v="2024-05-25T00:00:00"/>
        <d v="2024-03-21T00:00:00"/>
        <d v="2024-12-21T00:00:00"/>
        <d v="2024-03-23T00:00:00"/>
        <d v="2024-08-18T00:00:00"/>
        <d v="2024-04-16T00:00:00"/>
        <d v="2024-09-01T00:00:00"/>
        <d v="2024-01-31T00:00:00"/>
        <d v="2024-06-12T00:00:00"/>
        <d v="2024-07-05T00:00:00"/>
        <d v="2024-06-22T00:00:00"/>
        <d v="2024-05-09T00:00:00"/>
        <d v="2024-10-05T00:00:00"/>
        <d v="2024-08-20T00:00:00"/>
        <d v="2024-01-02T00:00:00"/>
        <d v="2024-06-07T00:00:00"/>
        <d v="2024-08-28T00:00:00"/>
        <d v="2024-09-06T00:00:00"/>
        <d v="2024-01-22T00:00:00"/>
        <d v="2024-07-09T00:00:00"/>
        <d v="2024-09-13T00:00:00"/>
        <d v="2024-03-08T00:00:00"/>
        <d v="2024-05-12T00:00:00"/>
        <d v="2024-10-09T00:00:00"/>
        <d v="2024-12-05T00:00:00"/>
        <d v="2024-05-18T00:00:00"/>
        <d v="2024-10-31T00:00:00"/>
        <d v="2024-05-22T00:00:00"/>
        <d v="2024-04-20T00:00:00"/>
        <d v="2024-02-13T00:00:00"/>
        <d v="2024-05-07T00:00:00"/>
        <d v="2024-08-02T00:00:00"/>
        <d v="2024-02-07T00:00:00"/>
        <d v="2024-06-16T00:00:00"/>
        <d v="2024-08-31T00:00:00"/>
        <d v="2024-02-25T00:00:00"/>
        <d v="2024-02-27T00:00:00"/>
        <d v="2024-09-11T00:00:00"/>
        <d v="2024-03-25T00:00:00"/>
        <d v="2024-08-15T00:00:00"/>
        <d v="2024-08-16T00:00:00"/>
        <d v="2024-09-09T00:00:00"/>
        <d v="2024-04-17T00:00:00"/>
        <d v="2024-04-26T00:00:00"/>
        <d v="2024-02-04T00:00:00"/>
        <d v="2024-04-15T00:00:00"/>
        <d v="2024-08-06T00:00:00"/>
        <d v="2024-06-14T00:00:00"/>
        <d v="2024-07-11T00:00:00"/>
        <d v="2024-08-10T00:00:00"/>
        <d v="2024-04-13T00:00:00"/>
        <d v="2024-09-28T00:00:00"/>
        <d v="2024-07-24T00:00:00"/>
        <d v="2024-01-23T00:00:00"/>
        <d v="2024-11-22T00:00:00"/>
        <d v="2024-08-14T00:00:00"/>
        <d v="2024-01-10T00:00:00"/>
        <d v="2024-06-01T00:00:00"/>
        <d v="2024-01-14T00:00:00"/>
        <d v="2024-09-30T00:00:00"/>
        <d v="2024-02-08T00:00:00"/>
        <d v="2024-12-11T00:00:00"/>
        <d v="2024-09-08T00:00:00"/>
        <d v="2024-09-03T00:00:00"/>
        <d v="2024-04-02T00:00:00"/>
        <d v="2024-06-30T00:00:00"/>
        <d v="2024-02-10T00:00:00"/>
        <d v="2024-11-02T00:00:00"/>
        <d v="2024-11-18T00:00:00"/>
        <d v="2024-08-19T00:00:00"/>
        <d v="2024-07-29T00:00:00"/>
        <d v="2024-03-18T00:00:00"/>
        <d v="2024-01-04T00:00:00"/>
        <d v="2024-10-20T00:00:00"/>
        <d v="2024-05-02T00:00:00"/>
        <d v="2024-02-14T00:00:00"/>
        <d v="2024-04-12T00:00:00"/>
        <d v="2024-07-31T00:00:00"/>
        <d v="2024-03-22T00:00:00"/>
        <d v="2024-10-25T00:00:00"/>
        <d v="2024-04-24T00:00:00"/>
        <d v="2024-06-19T00:00:00"/>
        <d v="2024-10-06T00:00:00"/>
        <d v="2024-08-21T00:00:00"/>
        <d v="2024-08-26T00:00:00"/>
        <d v="2024-05-29T00:00:00"/>
        <d v="2024-07-18T00:00:00"/>
        <d v="2024-11-11T00:00:00"/>
        <d v="2024-12-23T00:00:00"/>
        <d v="2024-11-26T00:00:00"/>
        <d v="2024-02-05T00:00:00"/>
        <d v="2024-11-03T00:00:00"/>
        <d v="2024-11-13T00:00:00"/>
        <d v="2024-09-19T00:00:00"/>
        <d v="2024-04-14T00:00:00"/>
        <d v="2024-11-20T00:00:00"/>
        <d v="2024-01-15T00:00:00"/>
        <d v="2024-07-27T00:00:00"/>
        <d v="2024-02-23T00:00:00"/>
        <d v="2024-05-24T00:00:00"/>
        <d v="2024-07-13T00:00:00"/>
        <d v="2024-03-10T00:00:00"/>
        <d v="2024-07-25T00:00:00"/>
        <d v="2024-04-07T00:00:00"/>
        <d v="2024-06-28T00:00:00"/>
        <d v="2024-06-23T00:00:00"/>
        <d v="2024-12-02T00:00:00"/>
        <d v="2024-12-12T00:00:00"/>
        <d v="2024-12-15T00:00:00"/>
        <d v="2024-04-06T00:00:00"/>
        <d v="2024-05-30T00:00:00"/>
        <d v="2024-12-20T00:00:00"/>
        <d v="2024-04-25T00:00:00"/>
        <d v="2024-10-13T00:00:00"/>
        <d v="2024-07-21T00:00:00"/>
        <d v="2024-05-11T00:00:00"/>
        <d v="2024-05-20T00:00:00"/>
        <d v="2024-07-04T00:00:00"/>
        <d v="2024-01-21T00:00:00"/>
        <d v="2024-10-22T00:00:00"/>
        <d v="2024-05-23T00:00:00"/>
        <d v="2024-06-25T00:00:00"/>
        <d v="2024-01-26T00:00:00"/>
        <d v="2024-01-05T00:00:00"/>
        <d v="2024-08-29T00:00:00"/>
        <d v="2024-12-17T00:00:00"/>
        <d v="2024-11-25T00:00:00"/>
        <d v="2024-06-17T00:00:00"/>
        <d v="2024-10-27T00:00:00"/>
        <d v="2024-04-18T00:00:00"/>
        <d v="2024-02-19T00:00:00"/>
        <d v="2024-06-20T00:00:00"/>
        <d v="2024-12-14T00:00:00"/>
        <d v="2024-01-12T00:00:00"/>
        <d v="2024-08-23T00:00:00"/>
        <d v="2024-03-16T00:00:00"/>
        <d v="2024-05-19T00:00:00"/>
        <d v="2024-01-20T00:00:00"/>
        <d v="2024-10-01T00:00:00"/>
        <d v="2024-09-25T00:00:00"/>
        <d v="2024-01-29T00:00:00"/>
        <d v="2024-04-03T00:00:00"/>
        <d v="2024-11-29T00:00:00"/>
        <d v="2024-12-19T00:00:00"/>
        <d v="2024-11-09T00:00:00"/>
        <d v="2024-05-28T00:00:00"/>
        <d v="2024-06-15T00:00:00"/>
        <d v="2024-08-22T00:00:00"/>
        <d v="2024-02-15T00:00:00"/>
        <d v="2024-03-19T00:00:00"/>
        <d v="2024-10-26T00:00:00"/>
        <d v="2024-07-19T00:00:00"/>
        <d v="2024-01-09T00:00:00"/>
        <d v="2024-02-03T00:00:00"/>
        <d v="2024-03-24T00:00:00"/>
        <d v="2024-03-05T00:00:00"/>
        <d v="2024-08-12T00:00:00"/>
        <d v="2024-10-07T00:00:00"/>
        <d v="2024-05-26T00:00:00"/>
        <d v="2024-07-17T00:00:00"/>
        <d v="2024-07-16T00:00:00"/>
        <d v="2024-10-19T00:00:00"/>
        <d v="2024-02-17T00:00:00"/>
        <d v="2024-03-01T00:00:00"/>
        <d v="2024-07-08T00:00:00"/>
        <d v="2024-12-08T00:00:00"/>
        <d v="2024-09-17T00:00:00"/>
        <d v="2024-09-04T00:00:00"/>
        <d v="2024-08-07T00:00:00"/>
        <d v="2024-03-09T00:00:00"/>
        <d v="2024-12-09T00:00:00"/>
        <d v="2024-05-16T00:00:00"/>
        <d v="2024-09-24T00:00:00"/>
        <d v="2024-06-03T00:00:00"/>
        <d v="2024-04-19T00:00:00"/>
        <d v="2024-03-26T00:00:00"/>
        <d v="2024-09-23T00:00:00"/>
        <d v="2024-05-14T00:00:00"/>
        <d v="2024-01-24T00:00:00"/>
        <d v="2024-01-06T00:00:00"/>
        <d v="2024-09-26T00:00:00"/>
        <d v="2024-06-06T00:00:00"/>
        <d v="2024-06-05T00:00:00"/>
        <d v="2024-02-09T00:00:00"/>
        <d v="2024-01-25T00:00:00"/>
        <d v="2024-07-12T00:00:00"/>
        <d v="2024-07-20T00:00:00"/>
        <d v="2024-11-01T00:00:00"/>
        <d v="2024-08-01T00:00:00"/>
        <d v="2024-04-22T00:00:00"/>
        <d v="2024-12-04T00:00:00"/>
        <d v="2024-03-28T00:00:00"/>
        <d v="2024-11-06T00:00:00"/>
        <d v="2024-03-03T00:00:00"/>
        <d v="2024-04-21T00:00:00"/>
        <d v="2024-12-24T00:00:00"/>
        <d v="2024-03-12T00:00:00"/>
        <d v="2024-08-08T00:00:00"/>
        <d v="2024-01-01T00:00:00"/>
        <d v="2024-12-06T00:00:00"/>
        <d v="2024-07-02T00:00:00"/>
        <d v="2024-03-04T00:00:00"/>
        <d v="2024-07-06T00:00:00"/>
        <d v="2024-02-12T00:00:00"/>
        <d v="2024-01-11T00:00:00"/>
        <d v="2024-08-13T00:00:00"/>
        <d v="2024-12-13T00:00:00"/>
        <d v="2024-02-29T00:00:00"/>
        <d v="2024-09-07T00:00:00"/>
        <d v="2024-03-30T00:00:00"/>
        <d v="2024-08-11T00:00:00"/>
        <d v="2024-09-05T00:00:00"/>
        <d v="2024-02-01T00:00:00"/>
        <d v="2024-10-03T00:00:00"/>
        <d v="2024-07-28T00:00:00"/>
        <d v="2024-04-11T00:00:00"/>
        <d v="2024-12-10T00:00:00"/>
        <d v="2024-05-13T00:00:00"/>
        <d v="2024-03-29T00:00:00"/>
        <d v="2024-11-15T00:00:00"/>
        <d v="2024-07-23T00:00:00"/>
        <d v="2024-08-09T00:00:00"/>
        <d v="2024-06-04T00:00:00"/>
        <d v="2024-10-02T00:00:00"/>
        <d v="2024-06-02T00:00:00"/>
        <d v="2024-05-01T00:00:00"/>
        <d v="2024-08-25T00:00:00"/>
        <d v="2024-04-08T00:00:00"/>
        <d v="2024-09-20T00:00:00"/>
        <d v="2024-11-12T00:00:00"/>
        <d v="2024-11-05T00:00:00"/>
        <d v="2024-01-17T00:00:00"/>
        <d v="2024-02-16T00:00:00"/>
        <d v="2024-02-24T00:00:00"/>
        <d v="2024-12-27T00:00:00"/>
        <d v="2024-06-13T00:00:00"/>
        <d v="2024-02-21T00:00:00"/>
        <d v="2024-01-13T00:00:00"/>
        <d v="2024-03-07T00:00:00"/>
        <d v="2024-10-14T00:00:00"/>
        <d v="2024-10-29T00:00:00"/>
        <d v="2024-12-29T00:00:00"/>
        <d v="2024-05-10T00:00:00"/>
        <d v="2024-12-16T00:00:00"/>
        <d v="2024-05-03T00:00:00"/>
        <d v="2024-06-11T00:00:00"/>
        <d v="2024-10-21T00:00:00"/>
        <d v="2024-03-17T00:00:00"/>
        <d v="2024-05-08T00:00:00"/>
        <d v="2024-06-27T00:00:00"/>
        <d v="2024-03-27T00:00:00"/>
        <d v="2024-11-27T00:00:00"/>
        <d v="2024-11-23T00:00:00"/>
        <d v="2024-05-21T00:00:00"/>
        <d v="2024-11-24T00:00:00"/>
        <d v="2024-09-02T00:00:00"/>
        <d v="2024-11-04T00:00:00"/>
        <d v="2024-11-07T00:00:00"/>
        <d v="2024-04-28T00:00:00"/>
        <d v="2024-10-10T00:00:00"/>
        <d v="2024-11-14T00:00:00"/>
        <d v="2024-05-06T00:00:00"/>
        <d v="2024-10-12T00:00:00"/>
        <d v="2024-06-24T00:00:00"/>
        <d v="2024-12-26T00:00:00"/>
        <d v="2024-02-02T00:00:00"/>
        <d v="2024-12-25T00:00:00"/>
        <d v="2024-08-27T00:00:00"/>
        <d v="2024-06-09T00:00:00"/>
        <d v="2024-07-03T00:00:00"/>
        <d v="2024-09-22T00:00:00"/>
        <d v="2024-04-10T00:00:00"/>
        <d v="2024-03-02T00:00:00"/>
        <d v="2024-10-28T00:00:00"/>
        <d v="2024-01-28T00:00:00"/>
        <d v="2024-04-05T00:00:00"/>
        <d v="2024-05-15T00:00:00"/>
        <d v="2024-04-27T00:00:00"/>
        <d v="2024-12-07T00:00:00"/>
        <d v="2024-02-22T00:00:00"/>
        <d v="2024-09-29T00:00:00"/>
        <d v="2024-09-18T00:00:00"/>
        <d v="2024-06-26T00:00:00"/>
        <d v="2024-01-03T00:00:00"/>
        <d v="2024-11-17T00:00:00"/>
        <d v="2024-03-14T00:00:00"/>
        <d v="2024-06-21T00:00:00"/>
        <d v="2024-10-24T00:00:00"/>
        <d v="2024-09-12T00:00:00"/>
        <d v="2024-12-22T00:00:00"/>
        <d v="2024-01-16T00:00:00"/>
        <d v="2024-08-05T00:00:00"/>
        <d v="2024-01-18T00:00:00"/>
        <d v="2024-07-10T00:00:00"/>
        <d v="2024-10-16T00:00:00"/>
        <d v="2024-04-09T00:00:00"/>
        <d v="2024-05-27T00:00:00"/>
        <d v="2024-04-23T00:00:00"/>
        <d v="2024-12-03T00:00:00"/>
        <d v="2024-08-24T00:00:00"/>
        <d v="2024-04-29T00:00:00"/>
        <d v="2024-03-15T00:00:00"/>
        <d v="2024-11-16T00:00:00"/>
        <d v="2024-11-10T00:00:00"/>
        <d v="2024-07-30T00:00:00"/>
        <d v="2024-10-17T00:00:00"/>
        <d v="2024-10-23T00:00:00"/>
        <d v="2024-09-10T00:00:00"/>
        <d v="2024-09-21T00:00:00"/>
        <d v="2024-02-28T00:00:00"/>
        <d v="2024-03-20T00:00:00"/>
        <d v="2024-04-30T00:00:00"/>
        <d v="2024-06-10T00:00:00"/>
        <d v="2024-10-08T00:00:00"/>
        <d v="2024-12-18T00:00:00"/>
        <d v="2024-07-26T00:00:00"/>
        <d v="2024-10-04T00:00:00"/>
        <d v="2024-07-22T00:00:00"/>
        <d v="2024-04-04T00:00:00"/>
        <d v="2024-06-29T00:00:00"/>
        <d v="2024-05-05T00:00:00"/>
        <d v="2024-03-11T00:00:00"/>
        <d v="2024-12-01T00:00:00"/>
        <d v="2024-07-15T00:00:00"/>
        <d v="2024-12-28T00:00:00"/>
        <d v="2024-01-08T00:00:00"/>
        <d v="2024-03-13T00:00:00"/>
        <d v="2024-09-15T00:00:00"/>
        <d v="2024-07-01T00:00:00"/>
        <d v="2024-09-14T00:00:00"/>
        <d v="2024-02-06T00:00:00"/>
        <d v="2024-06-18T00:00:00"/>
        <d v="2024-07-07T00:00:00"/>
        <d v="2024-05-04T00:00:00"/>
        <d v="2024-02-11T00:00:00"/>
        <d v="2024-02-26T00:00:00"/>
      </sharedItems>
      <fieldGroup par="18"/>
    </cacheField>
    <cacheField name="Year" numFmtId="0">
      <sharedItems containsSemiMixedTypes="0" containsString="0" containsNumber="1" containsInteger="1" minValue="2024" maxValue="2024"/>
    </cacheField>
    <cacheField name="Quarter" numFmtId="0">
      <sharedItems containsSemiMixedTypes="0" containsString="0" containsNumber="1" containsInteger="1" minValue="1" maxValue="4" count="4">
        <n v="4"/>
        <n v="2"/>
        <n v="1"/>
        <n v="3"/>
      </sharedItems>
    </cacheField>
    <cacheField name="MonthNum" numFmtId="0">
      <sharedItems containsSemiMixedTypes="0" containsString="0" containsNumber="1" containsInteger="1" minValue="1" maxValue="12"/>
    </cacheField>
    <cacheField name="CustomerID" numFmtId="0">
      <sharedItems containsSemiMixedTypes="0" containsString="0" containsNumber="1" containsInteger="1" minValue="1" maxValue="80" count="80">
        <n v="10"/>
        <n v="7"/>
        <n v="2"/>
        <n v="50"/>
        <n v="3"/>
        <n v="42"/>
        <n v="57"/>
        <n v="6"/>
        <n v="29"/>
        <n v="8"/>
        <n v="63"/>
        <n v="11"/>
        <n v="54"/>
        <n v="13"/>
        <n v="59"/>
        <n v="80"/>
        <n v="17"/>
        <n v="22"/>
        <n v="71"/>
        <n v="20"/>
        <n v="48"/>
        <n v="21"/>
        <n v="27"/>
        <n v="75"/>
        <n v="23"/>
        <n v="55"/>
        <n v="46"/>
        <n v="26"/>
        <n v="61"/>
        <n v="58"/>
        <n v="30"/>
        <n v="38"/>
        <n v="32"/>
        <n v="70"/>
        <n v="34"/>
        <n v="37"/>
        <n v="39"/>
        <n v="41"/>
        <n v="43"/>
        <n v="60"/>
        <n v="74"/>
        <n v="45"/>
        <n v="76"/>
        <n v="52"/>
        <n v="64"/>
        <n v="66"/>
        <n v="79"/>
        <n v="77"/>
        <n v="4"/>
        <n v="73"/>
        <n v="65"/>
        <n v="53"/>
        <n v="28"/>
        <n v="49"/>
        <n v="15"/>
        <n v="18"/>
        <n v="69"/>
        <n v="25"/>
        <n v="62"/>
        <n v="12"/>
        <n v="47"/>
        <n v="16"/>
        <n v="5"/>
        <n v="19"/>
        <n v="36"/>
        <n v="14"/>
        <n v="67"/>
        <n v="40"/>
        <n v="72"/>
        <n v="31"/>
        <n v="68"/>
        <n v="44"/>
        <n v="1"/>
        <n v="56"/>
        <n v="78"/>
        <n v="51"/>
        <n v="24"/>
        <n v="9"/>
        <n v="33"/>
        <n v="35"/>
      </sharedItems>
    </cacheField>
    <cacheField name="Name" numFmtId="0">
      <sharedItems/>
    </cacheField>
    <cacheField name="Segment" numFmtId="0">
      <sharedItems count="6">
        <s v="Mid-Market"/>
        <s v="Consumer"/>
        <s v="Enterprise"/>
        <s v="SMB"/>
        <s v="Enterprice" u="1"/>
        <s v="Consumer " u="1"/>
      </sharedItems>
    </cacheField>
    <cacheField name="Country" numFmtId="0">
      <sharedItems/>
    </cacheField>
    <cacheField name="Regions" numFmtId="0">
      <sharedItems count="4">
        <s v="Europe"/>
        <s v="LATAM"/>
        <s v="North America"/>
        <s v="APAC"/>
      </sharedItems>
    </cacheField>
    <cacheField name="Product" numFmtId="0">
      <sharedItems count="15">
        <s v="Tablet"/>
        <s v="Desk Lamp"/>
        <s v="Cable Kit"/>
        <s v="Standing Desk"/>
        <s v="Mechanical Keyboard"/>
        <s v="Headset"/>
        <s v="Power Bank"/>
        <s v="USB-C Hub"/>
        <s v="Wireless Mouse"/>
        <s v="Docking Station"/>
        <s v="Laptop Pro"/>
        <s v="Smartphone"/>
        <s v="Webcam HD"/>
        <s v="Office Chair"/>
        <s v="4K Monitor"/>
      </sharedItems>
    </cacheField>
    <cacheField name="Quantity" numFmtId="0">
      <sharedItems containsSemiMixedTypes="0" containsString="0" containsNumber="1" containsInteger="1" minValue="0" maxValue="14"/>
    </cacheField>
    <cacheField name="UnitPrice" numFmtId="0">
      <sharedItems containsSemiMixedTypes="0" containsString="0" containsNumber="1" minValue="11.14" maxValue="1999.23"/>
    </cacheField>
    <cacheField name="LineRevenue" numFmtId="0">
      <sharedItems containsSemiMixedTypes="0" containsString="0" containsNumber="1" minValue="0" maxValue="27378.539999999997"/>
    </cacheField>
    <cacheField name="OrderSize" numFmtId="0">
      <sharedItems/>
    </cacheField>
    <cacheField name="Channel" numFmtId="0">
      <sharedItems count="4">
        <s v="store"/>
        <s v="mobile"/>
        <s v="web"/>
        <s v="phone"/>
      </sharedItems>
    </cacheField>
    <cacheField name="Status" numFmtId="0">
      <sharedItems/>
    </cacheField>
    <cacheField name="Days (OrderDate)" numFmtId="0" databaseField="0">
      <fieldGroup base="1">
        <rangePr groupBy="days" startDate="2024-01-01T00:00:00" endDate="2024-12-3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rt"/>
          <s v="2-mrt"/>
          <s v="3-mrt"/>
          <s v="4-mrt"/>
          <s v="5-mrt"/>
          <s v="6-mrt"/>
          <s v="7-mrt"/>
          <s v="8-mrt"/>
          <s v="9-mrt"/>
          <s v="10-mrt"/>
          <s v="11-mrt"/>
          <s v="12-mrt"/>
          <s v="13-mrt"/>
          <s v="14-mrt"/>
          <s v="15-mrt"/>
          <s v="16-mrt"/>
          <s v="17-mrt"/>
          <s v="18-mrt"/>
          <s v="19-mrt"/>
          <s v="20-mrt"/>
          <s v="21-mrt"/>
          <s v="22-mrt"/>
          <s v="23-mrt"/>
          <s v="24-mrt"/>
          <s v="25-mrt"/>
          <s v="26-mrt"/>
          <s v="27-mrt"/>
          <s v="28-mrt"/>
          <s v="29-mrt"/>
          <s v="30-mrt"/>
          <s v="31-mrt"/>
          <s v="1-apr"/>
          <s v="2-apr"/>
          <s v="3-apr"/>
          <s v="4-apr"/>
          <s v="5-apr"/>
          <s v="6-apr"/>
          <s v="7-apr"/>
          <s v="8-apr"/>
          <s v="9-apr"/>
          <s v="10-apr"/>
          <s v="11-apr"/>
          <s v="12-apr"/>
          <s v="13-apr"/>
          <s v="14-apr"/>
          <s v="15-apr"/>
          <s v="16-apr"/>
          <s v="17-apr"/>
          <s v="18-apr"/>
          <s v="19-apr"/>
          <s v="20-apr"/>
          <s v="21-apr"/>
          <s v="22-apr"/>
          <s v="23-apr"/>
          <s v="24-apr"/>
          <s v="25-apr"/>
          <s v="26-apr"/>
          <s v="27-apr"/>
          <s v="28-apr"/>
          <s v="29-apr"/>
          <s v="30-apr"/>
          <s v="1-mei"/>
          <s v="2-mei"/>
          <s v="3-mei"/>
          <s v="4-mei"/>
          <s v="5-mei"/>
          <s v="6-mei"/>
          <s v="7-mei"/>
          <s v="8-mei"/>
          <s v="9-mei"/>
          <s v="10-mei"/>
          <s v="11-mei"/>
          <s v="12-mei"/>
          <s v="13-mei"/>
          <s v="14-mei"/>
          <s v="15-mei"/>
          <s v="16-mei"/>
          <s v="17-mei"/>
          <s v="18-mei"/>
          <s v="19-mei"/>
          <s v="20-mei"/>
          <s v="21-mei"/>
          <s v="22-mei"/>
          <s v="23-mei"/>
          <s v="24-mei"/>
          <s v="25-mei"/>
          <s v="26-mei"/>
          <s v="27-mei"/>
          <s v="28-mei"/>
          <s v="29-mei"/>
          <s v="30-mei"/>
          <s v="31-mei"/>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kt"/>
          <s v="2-okt"/>
          <s v="3-okt"/>
          <s v="4-okt"/>
          <s v="5-okt"/>
          <s v="6-okt"/>
          <s v="7-okt"/>
          <s v="8-okt"/>
          <s v="9-okt"/>
          <s v="10-okt"/>
          <s v="11-okt"/>
          <s v="12-okt"/>
          <s v="13-okt"/>
          <s v="14-okt"/>
          <s v="15-okt"/>
          <s v="16-okt"/>
          <s v="17-okt"/>
          <s v="18-okt"/>
          <s v="19-okt"/>
          <s v="20-okt"/>
          <s v="21-okt"/>
          <s v="22-okt"/>
          <s v="23-okt"/>
          <s v="24-okt"/>
          <s v="25-okt"/>
          <s v="26-okt"/>
          <s v="27-okt"/>
          <s v="28-okt"/>
          <s v="29-okt"/>
          <s v="30-okt"/>
          <s v="31-ok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1-12-2024"/>
        </groupItems>
      </fieldGroup>
    </cacheField>
    <cacheField name="Months (OrderDate)" numFmtId="0" databaseField="0">
      <fieldGroup base="1">
        <rangePr groupBy="months" startDate="2024-01-01T00:00:00" endDate="2024-12-31T00:00:00"/>
        <groupItems count="14">
          <s v="&lt;1-1-2024"/>
          <s v="jan"/>
          <s v="feb"/>
          <s v="mrt"/>
          <s v="apr"/>
          <s v="mei"/>
          <s v="jun"/>
          <s v="jul"/>
          <s v="aug"/>
          <s v="sep"/>
          <s v="okt"/>
          <s v="nov"/>
          <s v="dec"/>
          <s v="&gt;31-12-2024"/>
        </groupItems>
      </fieldGroup>
    </cacheField>
  </cacheFields>
  <extLst>
    <ext xmlns:x14="http://schemas.microsoft.com/office/spreadsheetml/2009/9/main" uri="{725AE2AE-9491-48be-B2B4-4EB974FC3084}">
      <x14:pivotCacheDefinition pivotCacheId="563780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6">
  <r>
    <n v="202400705"/>
    <x v="0"/>
    <n v="2024"/>
    <x v="0"/>
    <n v="11"/>
    <x v="0"/>
    <s v="Sophie Brown"/>
    <x v="0"/>
    <s v="France"/>
    <x v="0"/>
    <x v="0"/>
    <n v="12"/>
    <n v="1157.47"/>
    <n v="13889.64"/>
    <s v="Bulk"/>
    <x v="0"/>
    <s v="completed"/>
  </r>
  <r>
    <n v="202400909"/>
    <x v="1"/>
    <n v="2024"/>
    <x v="0"/>
    <n v="10"/>
    <x v="1"/>
    <s v="Carlos Muller"/>
    <x v="1"/>
    <s v="Netherlands"/>
    <x v="0"/>
    <x v="1"/>
    <n v="8"/>
    <n v="992.42"/>
    <n v="7939.36"/>
    <s v="Medium"/>
    <x v="1"/>
    <s v="completed"/>
  </r>
  <r>
    <n v="202401159"/>
    <x v="2"/>
    <n v="2024"/>
    <x v="1"/>
    <n v="5"/>
    <x v="1"/>
    <s v="Carlos Muller"/>
    <x v="1"/>
    <s v="Netherlands"/>
    <x v="0"/>
    <x v="0"/>
    <n v="6"/>
    <n v="1912.72"/>
    <n v="11476.32"/>
    <s v="Medium"/>
    <x v="1"/>
    <s v="cancelled"/>
  </r>
  <r>
    <n v="202400763"/>
    <x v="3"/>
    <n v="2024"/>
    <x v="2"/>
    <n v="1"/>
    <x v="2"/>
    <s v="John Wilson"/>
    <x v="0"/>
    <s v="Mexico"/>
    <x v="1"/>
    <x v="2"/>
    <n v="2"/>
    <n v="1482.51"/>
    <n v="2965.02"/>
    <s v="Single"/>
    <x v="1"/>
    <s v="completed"/>
  </r>
  <r>
    <n v="202400211"/>
    <x v="4"/>
    <n v="2024"/>
    <x v="3"/>
    <n v="8"/>
    <x v="3"/>
    <s v="Carlos Tanaka"/>
    <x v="2"/>
    <s v="Italy"/>
    <x v="0"/>
    <x v="3"/>
    <n v="11"/>
    <n v="1252.6500000000001"/>
    <n v="13779.150000000001"/>
    <s v="Bulk"/>
    <x v="1"/>
    <s v="shipped"/>
  </r>
  <r>
    <n v="202400045"/>
    <x v="5"/>
    <n v="2024"/>
    <x v="0"/>
    <n v="10"/>
    <x v="3"/>
    <s v="Carlos Tanaka"/>
    <x v="2"/>
    <s v="Italy"/>
    <x v="0"/>
    <x v="1"/>
    <n v="1"/>
    <n v="343.63"/>
    <n v="343.63"/>
    <s v="Single"/>
    <x v="0"/>
    <s v="pending"/>
  </r>
  <r>
    <n v="202400077"/>
    <x v="6"/>
    <n v="2024"/>
    <x v="3"/>
    <n v="9"/>
    <x v="3"/>
    <s v="Carlos Tanaka"/>
    <x v="2"/>
    <s v="Italy"/>
    <x v="0"/>
    <x v="1"/>
    <n v="14"/>
    <n v="1369.54"/>
    <n v="19173.559999999998"/>
    <s v="Bulk"/>
    <x v="0"/>
    <s v="shipped"/>
  </r>
  <r>
    <n v="202400024"/>
    <x v="7"/>
    <n v="2024"/>
    <x v="0"/>
    <n v="12"/>
    <x v="3"/>
    <s v="Carlos Tanaka"/>
    <x v="2"/>
    <s v="Italy"/>
    <x v="0"/>
    <x v="4"/>
    <n v="4"/>
    <n v="1829.01"/>
    <n v="7316.04"/>
    <s v="Medium"/>
    <x v="2"/>
    <s v="completed"/>
  </r>
  <r>
    <n v="202400600"/>
    <x v="8"/>
    <n v="2024"/>
    <x v="2"/>
    <n v="3"/>
    <x v="4"/>
    <s v="Maria Smith"/>
    <x v="1"/>
    <s v="Italy"/>
    <x v="0"/>
    <x v="1"/>
    <n v="2"/>
    <n v="48.2"/>
    <n v="96.4"/>
    <s v="Single"/>
    <x v="1"/>
    <s v="completed"/>
  </r>
  <r>
    <n v="202400714"/>
    <x v="9"/>
    <n v="2024"/>
    <x v="2"/>
    <n v="1"/>
    <x v="4"/>
    <s v="Maria Smith"/>
    <x v="1"/>
    <s v="Italy"/>
    <x v="0"/>
    <x v="0"/>
    <n v="5"/>
    <n v="670.18"/>
    <n v="3350.8999999999996"/>
    <s v="Medium"/>
    <x v="1"/>
    <s v="completed"/>
  </r>
  <r>
    <n v="202400383"/>
    <x v="10"/>
    <n v="2024"/>
    <x v="0"/>
    <n v="11"/>
    <x v="4"/>
    <s v="Maria Smith"/>
    <x v="1"/>
    <s v="Italy"/>
    <x v="0"/>
    <x v="4"/>
    <n v="9"/>
    <n v="1627.41"/>
    <n v="14646.69"/>
    <s v="Medium"/>
    <x v="2"/>
    <s v="refunded"/>
  </r>
  <r>
    <n v="202401010"/>
    <x v="11"/>
    <n v="2024"/>
    <x v="2"/>
    <n v="2"/>
    <x v="4"/>
    <s v="Maria Smith"/>
    <x v="1"/>
    <s v="Italy"/>
    <x v="0"/>
    <x v="4"/>
    <n v="14"/>
    <n v="1124.03"/>
    <n v="15736.42"/>
    <s v="Bulk"/>
    <x v="1"/>
    <s v="completed"/>
  </r>
  <r>
    <n v="202400307"/>
    <x v="12"/>
    <n v="2024"/>
    <x v="0"/>
    <n v="10"/>
    <x v="5"/>
    <s v="James Nilsson"/>
    <x v="1"/>
    <s v="Italy"/>
    <x v="0"/>
    <x v="5"/>
    <n v="3"/>
    <n v="344.54"/>
    <n v="1033.6200000000001"/>
    <s v="Medium"/>
    <x v="3"/>
    <s v="pending "/>
  </r>
  <r>
    <n v="202401070"/>
    <x v="13"/>
    <n v="2024"/>
    <x v="1"/>
    <n v="6"/>
    <x v="5"/>
    <s v="James Nilsson"/>
    <x v="1"/>
    <s v="Italy"/>
    <x v="0"/>
    <x v="6"/>
    <n v="10"/>
    <n v="692.36"/>
    <n v="6923.6"/>
    <s v="Bulk"/>
    <x v="1"/>
    <s v="pending"/>
  </r>
  <r>
    <n v="202400757"/>
    <x v="14"/>
    <n v="2024"/>
    <x v="3"/>
    <n v="9"/>
    <x v="5"/>
    <s v="James Nilsson"/>
    <x v="1"/>
    <s v="Italy"/>
    <x v="0"/>
    <x v="7"/>
    <n v="2"/>
    <n v="581.66"/>
    <n v="1163.32"/>
    <s v="Single"/>
    <x v="2"/>
    <s v="completed"/>
  </r>
  <r>
    <n v="202401114"/>
    <x v="15"/>
    <n v="2024"/>
    <x v="0"/>
    <n v="11"/>
    <x v="5"/>
    <s v="James Nilsson"/>
    <x v="1"/>
    <s v="Italy"/>
    <x v="0"/>
    <x v="8"/>
    <n v="8"/>
    <n v="1887"/>
    <n v="15096"/>
    <s v="Medium"/>
    <x v="2"/>
    <s v="completed"/>
  </r>
  <r>
    <n v="202400479"/>
    <x v="16"/>
    <n v="2024"/>
    <x v="3"/>
    <n v="7"/>
    <x v="6"/>
    <s v="Anna Johnson"/>
    <x v="0"/>
    <s v="Germany"/>
    <x v="0"/>
    <x v="5"/>
    <n v="12"/>
    <n v="560.91"/>
    <n v="6730.92"/>
    <s v="Bulk"/>
    <x v="2"/>
    <s v="completed"/>
  </r>
  <r>
    <n v="202400529"/>
    <x v="17"/>
    <n v="2024"/>
    <x v="1"/>
    <n v="5"/>
    <x v="6"/>
    <s v="Anna Johnson"/>
    <x v="0"/>
    <s v="Germany"/>
    <x v="0"/>
    <x v="5"/>
    <n v="10"/>
    <n v="840.64"/>
    <n v="8406.4"/>
    <s v="Bulk"/>
    <x v="2"/>
    <s v="pending"/>
  </r>
  <r>
    <n v="202401163"/>
    <x v="18"/>
    <n v="2024"/>
    <x v="2"/>
    <n v="3"/>
    <x v="7"/>
    <s v="Sophie Johnson"/>
    <x v="1"/>
    <s v="USA"/>
    <x v="2"/>
    <x v="9"/>
    <n v="7"/>
    <n v="232.62"/>
    <n v="1628.3400000000001"/>
    <s v="Medium"/>
    <x v="1"/>
    <s v="completed"/>
  </r>
  <r>
    <n v="202400372"/>
    <x v="13"/>
    <n v="2024"/>
    <x v="1"/>
    <n v="6"/>
    <x v="7"/>
    <s v="Sophie Johnson"/>
    <x v="1"/>
    <s v="USA"/>
    <x v="2"/>
    <x v="10"/>
    <n v="6"/>
    <n v="1414.67"/>
    <n v="8488.02"/>
    <s v="Medium"/>
    <x v="2"/>
    <s v="completed"/>
  </r>
  <r>
    <n v="202401034"/>
    <x v="19"/>
    <n v="2024"/>
    <x v="0"/>
    <n v="12"/>
    <x v="7"/>
    <s v="Sophie Johnson"/>
    <x v="1"/>
    <s v="USA"/>
    <x v="2"/>
    <x v="11"/>
    <n v="1"/>
    <n v="82.6"/>
    <n v="82.6"/>
    <s v="Single"/>
    <x v="3"/>
    <s v="completed"/>
  </r>
  <r>
    <n v="202400949"/>
    <x v="20"/>
    <n v="2024"/>
    <x v="2"/>
    <n v="3"/>
    <x v="8"/>
    <s v="Julia Johnson"/>
    <x v="2"/>
    <s v="France"/>
    <x v="0"/>
    <x v="8"/>
    <n v="3"/>
    <n v="1916.84"/>
    <n v="5750.5199999999995"/>
    <s v="Medium"/>
    <x v="1"/>
    <s v="completed"/>
  </r>
  <r>
    <n v="202400876"/>
    <x v="21"/>
    <n v="2024"/>
    <x v="3"/>
    <n v="8"/>
    <x v="9"/>
    <s v="Maria Martin"/>
    <x v="1"/>
    <s v="Germany"/>
    <x v="0"/>
    <x v="9"/>
    <n v="1"/>
    <n v="340.25"/>
    <n v="340.25"/>
    <s v="Single"/>
    <x v="1"/>
    <s v="refunded"/>
  </r>
  <r>
    <n v="202400598"/>
    <x v="22"/>
    <n v="2024"/>
    <x v="1"/>
    <n v="4"/>
    <x v="10"/>
    <s v="John Garcia"/>
    <x v="3"/>
    <s v="Brazil"/>
    <x v="1"/>
    <x v="9"/>
    <n v="1"/>
    <n v="1121.4100000000001"/>
    <n v="1121.4100000000001"/>
    <s v="Single"/>
    <x v="2"/>
    <s v="refunded"/>
  </r>
  <r>
    <n v="202400782"/>
    <x v="23"/>
    <n v="2024"/>
    <x v="3"/>
    <n v="9"/>
    <x v="10"/>
    <s v="John Garcia"/>
    <x v="3"/>
    <s v="Brazil"/>
    <x v="1"/>
    <x v="11"/>
    <n v="10"/>
    <n v="69.790000000000006"/>
    <n v="697.90000000000009"/>
    <s v="Bulk"/>
    <x v="1"/>
    <s v="completed"/>
  </r>
  <r>
    <n v="202400839"/>
    <x v="24"/>
    <n v="2024"/>
    <x v="2"/>
    <n v="1"/>
    <x v="11"/>
    <s v="Paul Martin"/>
    <x v="0"/>
    <s v="Spain"/>
    <x v="0"/>
    <x v="3"/>
    <n v="3"/>
    <n v="1730.22"/>
    <n v="5190.66"/>
    <s v="Medium"/>
    <x v="2"/>
    <s v="completed"/>
  </r>
  <r>
    <n v="202400232"/>
    <x v="25"/>
    <n v="2024"/>
    <x v="1"/>
    <n v="6"/>
    <x v="12"/>
    <s v="Nora Tanaka"/>
    <x v="3"/>
    <s v="France"/>
    <x v="0"/>
    <x v="12"/>
    <n v="2"/>
    <n v="398.51"/>
    <n v="797.02"/>
    <s v="Single"/>
    <x v="1"/>
    <s v="pending"/>
  </r>
  <r>
    <n v="202400694"/>
    <x v="26"/>
    <n v="2024"/>
    <x v="3"/>
    <n v="7"/>
    <x v="12"/>
    <s v="Nora Tanaka"/>
    <x v="3"/>
    <s v="France"/>
    <x v="0"/>
    <x v="11"/>
    <n v="6"/>
    <n v="1446.15"/>
    <n v="8676.9000000000015"/>
    <s v="Medium"/>
    <x v="2"/>
    <s v="completed"/>
  </r>
  <r>
    <n v="202400889"/>
    <x v="27"/>
    <n v="2024"/>
    <x v="1"/>
    <n v="6"/>
    <x v="12"/>
    <s v="Nora Tanaka"/>
    <x v="3"/>
    <s v="France"/>
    <x v="0"/>
    <x v="13"/>
    <n v="11"/>
    <n v="1739.06"/>
    <n v="19129.66"/>
    <s v="Bulk"/>
    <x v="1"/>
    <s v="pending"/>
  </r>
  <r>
    <n v="202400568"/>
    <x v="28"/>
    <n v="2024"/>
    <x v="1"/>
    <n v="5"/>
    <x v="13"/>
    <s v="Nora Brown"/>
    <x v="3"/>
    <s v="Italy"/>
    <x v="0"/>
    <x v="5"/>
    <n v="7"/>
    <n v="576.42999999999995"/>
    <n v="4035.0099999999998"/>
    <s v="Medium"/>
    <x v="2"/>
    <s v="completed"/>
  </r>
  <r>
    <n v="202400426"/>
    <x v="29"/>
    <n v="2024"/>
    <x v="0"/>
    <n v="10"/>
    <x v="14"/>
    <s v="Sophie Nilsson"/>
    <x v="2"/>
    <s v="Japan"/>
    <x v="3"/>
    <x v="5"/>
    <n v="6"/>
    <n v="428.77"/>
    <n v="2572.62"/>
    <s v="Medium"/>
    <x v="2"/>
    <s v="completed"/>
  </r>
  <r>
    <n v="202401165"/>
    <x v="30"/>
    <n v="2024"/>
    <x v="3"/>
    <n v="8"/>
    <x v="15"/>
    <s v="Anna Muller"/>
    <x v="1"/>
    <s v="Germany"/>
    <x v="0"/>
    <x v="4"/>
    <n v="6"/>
    <n v="275.35000000000002"/>
    <n v="1652.1000000000001"/>
    <s v="Medium"/>
    <x v="1"/>
    <s v="pending"/>
  </r>
  <r>
    <n v="202400324"/>
    <x v="31"/>
    <n v="2024"/>
    <x v="2"/>
    <n v="1"/>
    <x v="15"/>
    <s v="Anna Muller"/>
    <x v="1"/>
    <s v="Germany"/>
    <x v="0"/>
    <x v="11"/>
    <n v="10"/>
    <n v="996.52"/>
    <n v="9965.2000000000007"/>
    <s v="Bulk"/>
    <x v="3"/>
    <s v="completed"/>
  </r>
  <r>
    <n v="202400082"/>
    <x v="32"/>
    <n v="2024"/>
    <x v="1"/>
    <n v="6"/>
    <x v="16"/>
    <s v="Sophie Tanaka"/>
    <x v="3"/>
    <s v="Australia"/>
    <x v="3"/>
    <x v="7"/>
    <n v="13"/>
    <n v="979.16"/>
    <n v="12729.08"/>
    <s v="Bulk"/>
    <x v="3"/>
    <s v="completed"/>
  </r>
  <r>
    <n v="202401153"/>
    <x v="33"/>
    <n v="2024"/>
    <x v="3"/>
    <n v="8"/>
    <x v="17"/>
    <s v="Maria Johnson"/>
    <x v="0"/>
    <s v="Brazil"/>
    <x v="1"/>
    <x v="6"/>
    <n v="5"/>
    <n v="488.08"/>
    <n v="2440.4"/>
    <s v="Medium"/>
    <x v="2"/>
    <s v="shipped"/>
  </r>
  <r>
    <n v="202400345"/>
    <x v="34"/>
    <n v="2024"/>
    <x v="3"/>
    <n v="9"/>
    <x v="17"/>
    <s v="Maria Johnson"/>
    <x v="0"/>
    <s v="Brazil"/>
    <x v="1"/>
    <x v="4"/>
    <n v="4"/>
    <n v="1350.25"/>
    <n v="5401"/>
    <s v="Medium"/>
    <x v="1"/>
    <s v="completed"/>
  </r>
  <r>
    <n v="202400295"/>
    <x v="35"/>
    <n v="2024"/>
    <x v="2"/>
    <n v="1"/>
    <x v="18"/>
    <s v="Marie Tanaka"/>
    <x v="0"/>
    <s v="Brazil"/>
    <x v="1"/>
    <x v="5"/>
    <n v="4"/>
    <n v="468.44"/>
    <n v="1873.76"/>
    <s v="Medium"/>
    <x v="1"/>
    <s v="shipped"/>
  </r>
  <r>
    <n v="202400430"/>
    <x v="36"/>
    <n v="2024"/>
    <x v="3"/>
    <n v="7"/>
    <x v="19"/>
    <s v="John Smith"/>
    <x v="3"/>
    <s v="USA"/>
    <x v="2"/>
    <x v="10"/>
    <n v="6"/>
    <n v="496.58"/>
    <n v="2979.48"/>
    <s v="Medium"/>
    <x v="0"/>
    <s v="completed"/>
  </r>
  <r>
    <n v="202400333"/>
    <x v="25"/>
    <n v="2024"/>
    <x v="1"/>
    <n v="6"/>
    <x v="19"/>
    <s v="John Smith"/>
    <x v="3"/>
    <s v="USA"/>
    <x v="2"/>
    <x v="0"/>
    <n v="7"/>
    <n v="1249.4100000000001"/>
    <n v="8745.8700000000008"/>
    <s v="Medium"/>
    <x v="0"/>
    <s v="completed"/>
  </r>
  <r>
    <n v="202400452"/>
    <x v="37"/>
    <n v="2024"/>
    <x v="3"/>
    <n v="9"/>
    <x v="20"/>
    <s v="Lucas Rossi"/>
    <x v="0"/>
    <s v="Australia"/>
    <x v="3"/>
    <x v="8"/>
    <n v="6"/>
    <n v="1177.81"/>
    <n v="7066.86"/>
    <s v="Medium"/>
    <x v="2"/>
    <s v="completed"/>
  </r>
  <r>
    <n v="202400197"/>
    <x v="38"/>
    <n v="2024"/>
    <x v="2"/>
    <n v="3"/>
    <x v="20"/>
    <s v="Lucas Rossi"/>
    <x v="0"/>
    <s v="Australia"/>
    <x v="3"/>
    <x v="5"/>
    <n v="7"/>
    <n v="1491.9"/>
    <n v="10443.300000000001"/>
    <s v="Medium"/>
    <x v="1"/>
    <s v="pending"/>
  </r>
  <r>
    <n v="202400366"/>
    <x v="39"/>
    <n v="2024"/>
    <x v="1"/>
    <n v="5"/>
    <x v="20"/>
    <s v="Lucas Rossi"/>
    <x v="0"/>
    <s v="Australia"/>
    <x v="3"/>
    <x v="2"/>
    <n v="5"/>
    <n v="1736.98"/>
    <n v="8684.9"/>
    <s v="Medium"/>
    <x v="1"/>
    <s v="cancelled"/>
  </r>
  <r>
    <n v="202401038"/>
    <x v="40"/>
    <n v="2024"/>
    <x v="0"/>
    <n v="10"/>
    <x v="21"/>
    <s v="Anna Johnson"/>
    <x v="1"/>
    <s v="Australia"/>
    <x v="3"/>
    <x v="11"/>
    <n v="4"/>
    <n v="790.09"/>
    <n v="3160.36"/>
    <s v="Medium"/>
    <x v="2"/>
    <s v="pending"/>
  </r>
  <r>
    <n v="202400590"/>
    <x v="41"/>
    <n v="2024"/>
    <x v="0"/>
    <n v="12"/>
    <x v="22"/>
    <s v="Nora Muller"/>
    <x v="0"/>
    <s v="Japan"/>
    <x v="3"/>
    <x v="0"/>
    <n v="14"/>
    <n v="806.29"/>
    <n v="11288.06"/>
    <s v="Bulk"/>
    <x v="1"/>
    <s v="shipped"/>
  </r>
  <r>
    <n v="202400993"/>
    <x v="42"/>
    <n v="2024"/>
    <x v="1"/>
    <n v="5"/>
    <x v="22"/>
    <s v="Nora Muller"/>
    <x v="0"/>
    <s v="Japan"/>
    <x v="3"/>
    <x v="6"/>
    <n v="14"/>
    <n v="408.05"/>
    <n v="5712.7"/>
    <s v="Bulk"/>
    <x v="3"/>
    <s v="shipped"/>
  </r>
  <r>
    <n v="202401126"/>
    <x v="43"/>
    <n v="2024"/>
    <x v="0"/>
    <n v="10"/>
    <x v="22"/>
    <s v="Nora Muller"/>
    <x v="0"/>
    <s v="Japan"/>
    <x v="3"/>
    <x v="6"/>
    <n v="9"/>
    <n v="1732.05"/>
    <n v="15588.449999999999"/>
    <s v="Medium"/>
    <x v="1"/>
    <s v="completed"/>
  </r>
  <r>
    <n v="202400906"/>
    <x v="44"/>
    <n v="2024"/>
    <x v="1"/>
    <n v="5"/>
    <x v="22"/>
    <s v="Nora Muller"/>
    <x v="0"/>
    <s v="Japan"/>
    <x v="3"/>
    <x v="13"/>
    <n v="10"/>
    <n v="1290.95"/>
    <n v="12909.5"/>
    <s v="Bulk"/>
    <x v="3"/>
    <s v="completed"/>
  </r>
  <r>
    <n v="202400966"/>
    <x v="45"/>
    <n v="2024"/>
    <x v="1"/>
    <n v="4"/>
    <x v="22"/>
    <s v="Nora Muller"/>
    <x v="0"/>
    <s v="Japan"/>
    <x v="3"/>
    <x v="12"/>
    <n v="6"/>
    <n v="1666.73"/>
    <n v="10000.380000000001"/>
    <s v="Medium"/>
    <x v="2"/>
    <s v="completed"/>
  </r>
  <r>
    <n v="202400411"/>
    <x v="46"/>
    <n v="2024"/>
    <x v="2"/>
    <n v="2"/>
    <x v="23"/>
    <s v="David Martin"/>
    <x v="2"/>
    <s v="Canada"/>
    <x v="2"/>
    <x v="11"/>
    <n v="3"/>
    <n v="1567.12"/>
    <n v="4701.3599999999997"/>
    <s v="Medium"/>
    <x v="1"/>
    <s v="completed"/>
  </r>
  <r>
    <n v="202400814"/>
    <x v="47"/>
    <n v="2024"/>
    <x v="1"/>
    <n v="5"/>
    <x v="24"/>
    <s v="Lucas Tanaka"/>
    <x v="1"/>
    <s v="Mexico"/>
    <x v="1"/>
    <x v="12"/>
    <n v="7"/>
    <n v="1531.66"/>
    <n v="10721.62"/>
    <s v="Medium"/>
    <x v="2"/>
    <s v="completed"/>
  </r>
  <r>
    <n v="202400586"/>
    <x v="48"/>
    <n v="2024"/>
    <x v="3"/>
    <n v="8"/>
    <x v="25"/>
    <s v="Sophie Martin"/>
    <x v="3"/>
    <s v="Canada"/>
    <x v="2"/>
    <x v="5"/>
    <n v="9"/>
    <n v="391.07"/>
    <n v="3519.63"/>
    <s v="Medium"/>
    <x v="0"/>
    <s v="completed"/>
  </r>
  <r>
    <n v="202400950"/>
    <x v="49"/>
    <n v="2024"/>
    <x v="2"/>
    <n v="2"/>
    <x v="26"/>
    <s v="Emma Leclerc"/>
    <x v="1"/>
    <s v="Canada"/>
    <x v="2"/>
    <x v="8"/>
    <n v="2"/>
    <n v="1619.8"/>
    <n v="3239.6"/>
    <s v="Single"/>
    <x v="2"/>
    <s v="completed"/>
  </r>
  <r>
    <n v="202400440"/>
    <x v="50"/>
    <n v="2024"/>
    <x v="1"/>
    <n v="6"/>
    <x v="27"/>
    <s v="Paul Rodriguez"/>
    <x v="2"/>
    <s v="Spain"/>
    <x v="0"/>
    <x v="2"/>
    <n v="14"/>
    <n v="126.17"/>
    <n v="1766.38"/>
    <s v="Bulk"/>
    <x v="2"/>
    <s v="pending"/>
  </r>
  <r>
    <n v="202401016"/>
    <x v="51"/>
    <n v="2024"/>
    <x v="3"/>
    <n v="8"/>
    <x v="27"/>
    <s v="Paul Rodriguez"/>
    <x v="2"/>
    <s v="Spain"/>
    <x v="0"/>
    <x v="3"/>
    <n v="4"/>
    <n v="480.21"/>
    <n v="1920.84"/>
    <s v="Medium"/>
    <x v="1"/>
    <s v="completed"/>
  </r>
  <r>
    <n v="202400579"/>
    <x v="52"/>
    <n v="2024"/>
    <x v="2"/>
    <n v="2"/>
    <x v="28"/>
    <s v="Julia Nilsson"/>
    <x v="3"/>
    <s v="Brazil"/>
    <x v="1"/>
    <x v="5"/>
    <n v="13"/>
    <n v="405.42"/>
    <n v="5270.46"/>
    <s v="Bulk"/>
    <x v="2"/>
    <s v="cancelled"/>
  </r>
  <r>
    <n v="202401181"/>
    <x v="53"/>
    <n v="2024"/>
    <x v="2"/>
    <n v="2"/>
    <x v="28"/>
    <s v="Julia Nilsson"/>
    <x v="3"/>
    <s v="Brazil"/>
    <x v="1"/>
    <x v="11"/>
    <n v="4"/>
    <n v="871.42"/>
    <n v="3485.68"/>
    <s v="Medium"/>
    <x v="2"/>
    <s v="completed"/>
  </r>
  <r>
    <n v="202400891"/>
    <x v="54"/>
    <n v="2024"/>
    <x v="3"/>
    <n v="9"/>
    <x v="29"/>
    <s v="Nora Tanaka"/>
    <x v="3"/>
    <s v="Canada"/>
    <x v="2"/>
    <x v="2"/>
    <n v="9"/>
    <n v="1838.32"/>
    <n v="16544.88"/>
    <s v="Medium"/>
    <x v="1"/>
    <s v="pending"/>
  </r>
  <r>
    <n v="202400293"/>
    <x v="55"/>
    <n v="2024"/>
    <x v="2"/>
    <n v="3"/>
    <x v="29"/>
    <s v="Nora Tanaka"/>
    <x v="3"/>
    <s v="Canada"/>
    <x v="2"/>
    <x v="2"/>
    <n v="9"/>
    <n v="646.54999999999995"/>
    <n v="5818.95"/>
    <s v="Medium"/>
    <x v="2"/>
    <s v="completed"/>
  </r>
  <r>
    <n v="202400148"/>
    <x v="56"/>
    <n v="2024"/>
    <x v="3"/>
    <n v="8"/>
    <x v="30"/>
    <s v="Anna Dupont"/>
    <x v="3"/>
    <s v="Brazil"/>
    <x v="1"/>
    <x v="8"/>
    <n v="7"/>
    <n v="872.41"/>
    <n v="6106.87"/>
    <s v="Medium"/>
    <x v="2"/>
    <s v="cancelled"/>
  </r>
  <r>
    <n v="202400744"/>
    <x v="57"/>
    <n v="2024"/>
    <x v="3"/>
    <n v="8"/>
    <x v="31"/>
    <s v="Carlos Wilson"/>
    <x v="0"/>
    <s v="Australia"/>
    <x v="3"/>
    <x v="6"/>
    <n v="4"/>
    <n v="1971"/>
    <n v="7884"/>
    <s v="Medium"/>
    <x v="1"/>
    <s v="completed"/>
  </r>
  <r>
    <n v="202400936"/>
    <x v="58"/>
    <n v="2024"/>
    <x v="3"/>
    <n v="9"/>
    <x v="32"/>
    <s v="Marie Nilsson"/>
    <x v="1"/>
    <s v="Brazil"/>
    <x v="1"/>
    <x v="0"/>
    <n v="4"/>
    <n v="44.92"/>
    <n v="179.68"/>
    <s v="Medium"/>
    <x v="1"/>
    <s v="completed"/>
  </r>
  <r>
    <n v="202400124"/>
    <x v="59"/>
    <n v="2024"/>
    <x v="1"/>
    <n v="4"/>
    <x v="33"/>
    <s v="Sarah Rodriguez"/>
    <x v="0"/>
    <s v="Australia"/>
    <x v="3"/>
    <x v="7"/>
    <n v="8"/>
    <n v="1509.84"/>
    <n v="12078.72"/>
    <s v="Medium"/>
    <x v="2"/>
    <s v="completed"/>
  </r>
  <r>
    <n v="202400114"/>
    <x v="60"/>
    <n v="2024"/>
    <x v="1"/>
    <n v="4"/>
    <x v="33"/>
    <s v="Sarah Rodriguez"/>
    <x v="0"/>
    <s v="Australia"/>
    <x v="3"/>
    <x v="0"/>
    <n v="6"/>
    <n v="466.52"/>
    <n v="2799.12"/>
    <s v="Medium"/>
    <x v="2"/>
    <s v="cancelled"/>
  </r>
  <r>
    <n v="202400680"/>
    <x v="58"/>
    <n v="2024"/>
    <x v="3"/>
    <n v="9"/>
    <x v="34"/>
    <s v="Anna Garcia"/>
    <x v="0"/>
    <s v="Germany"/>
    <x v="0"/>
    <x v="12"/>
    <n v="2"/>
    <n v="1496.94"/>
    <n v="2993.88"/>
    <s v="Single"/>
    <x v="1"/>
    <s v="cancelled"/>
  </r>
  <r>
    <n v="202400356"/>
    <x v="61"/>
    <n v="2024"/>
    <x v="2"/>
    <n v="2"/>
    <x v="35"/>
    <s v="John Rodriguez"/>
    <x v="2"/>
    <s v="USA"/>
    <x v="2"/>
    <x v="14"/>
    <n v="5"/>
    <n v="200.16"/>
    <n v="1000.8"/>
    <s v="Medium"/>
    <x v="1"/>
    <s v="refunded"/>
  </r>
  <r>
    <n v="202400539"/>
    <x v="62"/>
    <n v="2024"/>
    <x v="1"/>
    <n v="4"/>
    <x v="36"/>
    <s v="Lisa Chen"/>
    <x v="0"/>
    <s v="France"/>
    <x v="0"/>
    <x v="0"/>
    <n v="8"/>
    <n v="1424.24"/>
    <n v="11393.92"/>
    <s v="Medium"/>
    <x v="0"/>
    <s v="completed"/>
  </r>
  <r>
    <n v="202400079"/>
    <x v="63"/>
    <n v="2024"/>
    <x v="3"/>
    <n v="8"/>
    <x v="36"/>
    <s v="Lisa Chen"/>
    <x v="0"/>
    <s v="France"/>
    <x v="0"/>
    <x v="4"/>
    <n v="8"/>
    <n v="779.32"/>
    <n v="6234.56"/>
    <s v="Medium"/>
    <x v="1"/>
    <s v="completed"/>
  </r>
  <r>
    <n v="202400309"/>
    <x v="64"/>
    <n v="2024"/>
    <x v="1"/>
    <n v="6"/>
    <x v="37"/>
    <s v="Pierre Smith"/>
    <x v="0"/>
    <s v="Australia"/>
    <x v="3"/>
    <x v="6"/>
    <n v="8"/>
    <n v="1086.02"/>
    <n v="8688.16"/>
    <s v="Medium"/>
    <x v="2"/>
    <s v="completed"/>
  </r>
  <r>
    <n v="202400050"/>
    <x v="65"/>
    <n v="2024"/>
    <x v="3"/>
    <n v="7"/>
    <x v="38"/>
    <s v="Nora Rodriguez"/>
    <x v="3"/>
    <s v="Germany"/>
    <x v="0"/>
    <x v="9"/>
    <n v="11"/>
    <n v="1882.81"/>
    <n v="20710.91"/>
    <s v="Bulk"/>
    <x v="3"/>
    <s v="shipped"/>
  </r>
  <r>
    <n v="202401199"/>
    <x v="66"/>
    <n v="2024"/>
    <x v="3"/>
    <n v="8"/>
    <x v="39"/>
    <s v="John Chen"/>
    <x v="2"/>
    <s v="Germany"/>
    <x v="0"/>
    <x v="10"/>
    <n v="9"/>
    <n v="1826.64"/>
    <n v="16439.760000000002"/>
    <s v="Medium"/>
    <x v="0"/>
    <s v="completed"/>
  </r>
  <r>
    <n v="202400171"/>
    <x v="67"/>
    <n v="2024"/>
    <x v="1"/>
    <n v="4"/>
    <x v="40"/>
    <s v="John Rossi"/>
    <x v="0"/>
    <s v="Netherlands"/>
    <x v="0"/>
    <x v="7"/>
    <n v="8"/>
    <n v="132.91"/>
    <n v="1063.28"/>
    <s v="Medium"/>
    <x v="3"/>
    <s v="pending"/>
  </r>
  <r>
    <n v="202400661"/>
    <x v="68"/>
    <n v="2024"/>
    <x v="3"/>
    <n v="9"/>
    <x v="41"/>
    <s v="Sophie Garcia"/>
    <x v="1"/>
    <s v="USA"/>
    <x v="2"/>
    <x v="1"/>
    <n v="13"/>
    <n v="625.16"/>
    <n v="8127.08"/>
    <s v="Bulk"/>
    <x v="3"/>
    <s v="completed"/>
  </r>
  <r>
    <n v="202400998"/>
    <x v="69"/>
    <n v="2024"/>
    <x v="3"/>
    <n v="7"/>
    <x v="42"/>
    <s v="Lisa Martin"/>
    <x v="0"/>
    <s v="Mexico"/>
    <x v="1"/>
    <x v="13"/>
    <n v="3"/>
    <n v="676.49"/>
    <n v="2029.47"/>
    <s v="Medium"/>
    <x v="0"/>
    <s v="completed"/>
  </r>
  <r>
    <n v="202400129"/>
    <x v="70"/>
    <n v="2024"/>
    <x v="2"/>
    <n v="1"/>
    <x v="43"/>
    <s v="James Garcia"/>
    <x v="2"/>
    <s v="Australia"/>
    <x v="3"/>
    <x v="11"/>
    <n v="13"/>
    <n v="1793.31"/>
    <n v="23313.03"/>
    <s v="Bulk"/>
    <x v="2"/>
    <s v="shipped"/>
  </r>
  <r>
    <n v="202400245"/>
    <x v="71"/>
    <n v="2024"/>
    <x v="0"/>
    <n v="11"/>
    <x v="44"/>
    <s v="Lucas Muller"/>
    <x v="1"/>
    <s v="Netherlands"/>
    <x v="0"/>
    <x v="14"/>
    <n v="1"/>
    <n v="446.21"/>
    <n v="446.21"/>
    <s v="Single"/>
    <x v="2"/>
    <s v="completed"/>
  </r>
  <r>
    <n v="202401015"/>
    <x v="72"/>
    <n v="2024"/>
    <x v="3"/>
    <n v="8"/>
    <x v="44"/>
    <s v="Lucas Muller"/>
    <x v="1"/>
    <s v="Netherlands"/>
    <x v="0"/>
    <x v="7"/>
    <n v="12"/>
    <n v="1296.6300000000001"/>
    <n v="15559.560000000001"/>
    <s v="Bulk"/>
    <x v="2"/>
    <s v="completed"/>
  </r>
  <r>
    <n v="202400102"/>
    <x v="73"/>
    <n v="2024"/>
    <x v="2"/>
    <n v="1"/>
    <x v="44"/>
    <s v="Lucas Muller"/>
    <x v="1"/>
    <s v="Netherlands"/>
    <x v="0"/>
    <x v="5"/>
    <n v="6"/>
    <n v="727.46"/>
    <n v="4364.76"/>
    <s v="Medium"/>
    <x v="2"/>
    <s v="pending"/>
  </r>
  <r>
    <n v="202400059"/>
    <x v="74"/>
    <n v="2024"/>
    <x v="1"/>
    <n v="6"/>
    <x v="45"/>
    <s v="Pierre Wilson"/>
    <x v="3"/>
    <s v="Australia"/>
    <x v="3"/>
    <x v="6"/>
    <n v="12"/>
    <n v="890.72"/>
    <n v="10688.64"/>
    <s v="Bulk"/>
    <x v="3"/>
    <s v="pending"/>
  </r>
  <r>
    <n v="202400052"/>
    <x v="23"/>
    <n v="2024"/>
    <x v="3"/>
    <n v="9"/>
    <x v="45"/>
    <s v="Pierre Wilson"/>
    <x v="3"/>
    <s v="Australia"/>
    <x v="3"/>
    <x v="13"/>
    <n v="12"/>
    <n v="315.31"/>
    <n v="3783.7200000000003"/>
    <s v="Bulk"/>
    <x v="2"/>
    <s v="shipped"/>
  </r>
  <r>
    <n v="202400918"/>
    <x v="75"/>
    <n v="2024"/>
    <x v="2"/>
    <n v="1"/>
    <x v="46"/>
    <s v="Marie Martin"/>
    <x v="3"/>
    <s v="Canada"/>
    <x v="2"/>
    <x v="5"/>
    <n v="8"/>
    <n v="92.14"/>
    <n v="737.12"/>
    <s v="Medium"/>
    <x v="2"/>
    <s v="completed"/>
  </r>
  <r>
    <n v="202400537"/>
    <x v="76"/>
    <n v="2024"/>
    <x v="3"/>
    <n v="9"/>
    <x v="47"/>
    <s v="Pierre Brown"/>
    <x v="0"/>
    <s v="Japan"/>
    <x v="3"/>
    <x v="14"/>
    <n v="4"/>
    <n v="1244.82"/>
    <n v="4979.28"/>
    <s v="Medium"/>
    <x v="1"/>
    <s v="pending"/>
  </r>
  <r>
    <n v="202400668"/>
    <x v="77"/>
    <n v="2024"/>
    <x v="2"/>
    <n v="2"/>
    <x v="48"/>
    <s v="Paul Leclerc"/>
    <x v="3"/>
    <s v="Australia"/>
    <x v="3"/>
    <x v="13"/>
    <n v="11"/>
    <n v="1013.23"/>
    <n v="11145.53"/>
    <s v="Bulk"/>
    <x v="1"/>
    <s v="completed"/>
  </r>
  <r>
    <n v="202400416"/>
    <x v="78"/>
    <n v="2024"/>
    <x v="0"/>
    <n v="12"/>
    <x v="4"/>
    <s v="Maria Smith"/>
    <x v="1"/>
    <s v="Italy"/>
    <x v="0"/>
    <x v="7"/>
    <n v="2"/>
    <n v="737.34"/>
    <n v="1474.68"/>
    <s v="Single"/>
    <x v="2"/>
    <s v="pending"/>
  </r>
  <r>
    <n v="202400391"/>
    <x v="79"/>
    <n v="2024"/>
    <x v="3"/>
    <n v="9"/>
    <x v="9"/>
    <s v="Maria Martin"/>
    <x v="1"/>
    <s v="Germany"/>
    <x v="0"/>
    <x v="9"/>
    <n v="8"/>
    <n v="1965.98"/>
    <n v="15727.84"/>
    <s v="Medium"/>
    <x v="0"/>
    <s v="completed"/>
  </r>
  <r>
    <n v="202400322"/>
    <x v="80"/>
    <n v="2024"/>
    <x v="3"/>
    <n v="9"/>
    <x v="49"/>
    <s v="Marie Smith"/>
    <x v="1"/>
    <s v="Netherlands"/>
    <x v="0"/>
    <x v="9"/>
    <n v="6"/>
    <n v="1002.47"/>
    <n v="6014.82"/>
    <s v="Medium"/>
    <x v="2"/>
    <s v="pending"/>
  </r>
  <r>
    <n v="202400653"/>
    <x v="81"/>
    <n v="2024"/>
    <x v="1"/>
    <n v="4"/>
    <x v="41"/>
    <s v="Sophie Garcia"/>
    <x v="1"/>
    <s v="USA"/>
    <x v="2"/>
    <x v="4"/>
    <n v="12"/>
    <n v="1008.54"/>
    <n v="12102.48"/>
    <s v="Bulk"/>
    <x v="3"/>
    <s v="shipped"/>
  </r>
  <r>
    <n v="202400241"/>
    <x v="20"/>
    <n v="2024"/>
    <x v="2"/>
    <n v="3"/>
    <x v="41"/>
    <s v="Sophie Garcia"/>
    <x v="1"/>
    <s v="USA"/>
    <x v="2"/>
    <x v="2"/>
    <n v="2"/>
    <n v="1017.75"/>
    <n v="2035.5"/>
    <s v="Single"/>
    <x v="2"/>
    <s v="completed"/>
  </r>
  <r>
    <n v="202400234"/>
    <x v="9"/>
    <n v="2024"/>
    <x v="2"/>
    <n v="1"/>
    <x v="50"/>
    <s v="Marie Chen"/>
    <x v="3"/>
    <s v="France"/>
    <x v="0"/>
    <x v="3"/>
    <n v="12"/>
    <n v="1076.3"/>
    <n v="12915.599999999999"/>
    <s v="Bulk"/>
    <x v="2"/>
    <s v="completed"/>
  </r>
  <r>
    <n v="202400055"/>
    <x v="82"/>
    <n v="2024"/>
    <x v="1"/>
    <n v="6"/>
    <x v="3"/>
    <s v="Carlos Tanaka"/>
    <x v="2"/>
    <s v="Italy"/>
    <x v="0"/>
    <x v="10"/>
    <n v="10"/>
    <n v="51.18"/>
    <n v="511.8"/>
    <s v="Bulk"/>
    <x v="3"/>
    <s v="completed"/>
  </r>
  <r>
    <n v="202401176"/>
    <x v="83"/>
    <n v="2024"/>
    <x v="2"/>
    <n v="2"/>
    <x v="42"/>
    <s v="Lisa Martin"/>
    <x v="0"/>
    <s v="Mexico"/>
    <x v="1"/>
    <x v="7"/>
    <n v="5"/>
    <n v="1772.27"/>
    <n v="8861.35"/>
    <s v="Medium"/>
    <x v="1"/>
    <s v="pending"/>
  </r>
  <r>
    <n v="202400199"/>
    <x v="84"/>
    <n v="2024"/>
    <x v="0"/>
    <n v="11"/>
    <x v="41"/>
    <s v="Sophie Garcia"/>
    <x v="1"/>
    <s v="USA"/>
    <x v="2"/>
    <x v="2"/>
    <n v="3"/>
    <n v="394.97"/>
    <n v="1184.9100000000001"/>
    <s v="Medium"/>
    <x v="3"/>
    <s v="completed"/>
  </r>
  <r>
    <n v="202400110"/>
    <x v="85"/>
    <n v="2024"/>
    <x v="0"/>
    <n v="11"/>
    <x v="51"/>
    <s v="David Rodriguez"/>
    <x v="1"/>
    <s v="Netherlands"/>
    <x v="0"/>
    <x v="6"/>
    <n v="5"/>
    <n v="1074.02"/>
    <n v="5370.1"/>
    <s v="Medium"/>
    <x v="2"/>
    <s v="completed"/>
  </r>
  <r>
    <n v="202400057"/>
    <x v="86"/>
    <n v="2024"/>
    <x v="3"/>
    <n v="8"/>
    <x v="52"/>
    <s v="Emma Garcia"/>
    <x v="2"/>
    <s v="Mexico"/>
    <x v="1"/>
    <x v="12"/>
    <n v="8"/>
    <n v="525.78"/>
    <n v="4206.24"/>
    <s v="Medium"/>
    <x v="3"/>
    <s v="completed"/>
  </r>
  <r>
    <n v="202400087"/>
    <x v="87"/>
    <n v="2024"/>
    <x v="3"/>
    <n v="7"/>
    <x v="53"/>
    <s v="Nora Muller"/>
    <x v="3"/>
    <s v="USA"/>
    <x v="2"/>
    <x v="3"/>
    <n v="3"/>
    <n v="841.42"/>
    <n v="2524.2599999999998"/>
    <s v="Medium"/>
    <x v="1"/>
    <s v="completed"/>
  </r>
  <r>
    <n v="202400707"/>
    <x v="88"/>
    <n v="2024"/>
    <x v="2"/>
    <n v="3"/>
    <x v="54"/>
    <s v="James Brown"/>
    <x v="0"/>
    <s v="France"/>
    <x v="0"/>
    <x v="8"/>
    <n v="4"/>
    <n v="1394.28"/>
    <n v="5577.12"/>
    <s v="Medium"/>
    <x v="2"/>
    <s v="completed"/>
  </r>
  <r>
    <n v="202401023"/>
    <x v="89"/>
    <n v="2024"/>
    <x v="2"/>
    <n v="1"/>
    <x v="28"/>
    <s v="Julia Nilsson"/>
    <x v="3"/>
    <s v="Brazil"/>
    <x v="1"/>
    <x v="14"/>
    <n v="8"/>
    <n v="1741.53"/>
    <n v="13932.24"/>
    <s v="Medium"/>
    <x v="1"/>
    <s v="shipped"/>
  </r>
  <r>
    <n v="202400544"/>
    <x v="90"/>
    <n v="2024"/>
    <x v="0"/>
    <n v="10"/>
    <x v="21"/>
    <s v="Anna Johnson"/>
    <x v="1"/>
    <s v="Australia"/>
    <x v="3"/>
    <x v="14"/>
    <n v="12"/>
    <n v="1623.79"/>
    <n v="19485.48"/>
    <s v="Bulk"/>
    <x v="0"/>
    <s v="pending"/>
  </r>
  <r>
    <n v="202401175"/>
    <x v="91"/>
    <n v="2024"/>
    <x v="1"/>
    <n v="5"/>
    <x v="19"/>
    <s v="John Smith"/>
    <x v="3"/>
    <s v="USA"/>
    <x v="2"/>
    <x v="4"/>
    <n v="4"/>
    <n v="1716.04"/>
    <n v="6864.16"/>
    <s v="Medium"/>
    <x v="1"/>
    <s v="refunded"/>
  </r>
  <r>
    <n v="202400742"/>
    <x v="92"/>
    <n v="2024"/>
    <x v="2"/>
    <n v="2"/>
    <x v="20"/>
    <s v="Lucas Rossi"/>
    <x v="0"/>
    <s v="Australia"/>
    <x v="3"/>
    <x v="1"/>
    <n v="4"/>
    <n v="943.67"/>
    <n v="3774.68"/>
    <s v="Medium"/>
    <x v="1"/>
    <s v="completed"/>
  </r>
  <r>
    <n v="202400915"/>
    <x v="93"/>
    <n v="2024"/>
    <x v="1"/>
    <n v="4"/>
    <x v="2"/>
    <s v="John Wilson"/>
    <x v="0"/>
    <s v="Mexico"/>
    <x v="1"/>
    <x v="4"/>
    <n v="3"/>
    <n v="1143.6600000000001"/>
    <n v="3430.9800000000005"/>
    <s v="Medium"/>
    <x v="3"/>
    <s v="completed"/>
  </r>
  <r>
    <n v="202400874"/>
    <x v="94"/>
    <n v="2024"/>
    <x v="3"/>
    <n v="7"/>
    <x v="49"/>
    <s v="Marie Smith"/>
    <x v="1"/>
    <s v="Netherlands"/>
    <x v="0"/>
    <x v="10"/>
    <n v="14"/>
    <n v="1591.74"/>
    <n v="22284.36"/>
    <s v="Bulk"/>
    <x v="1"/>
    <s v="completed"/>
  </r>
  <r>
    <n v="202401147"/>
    <x v="95"/>
    <n v="2024"/>
    <x v="2"/>
    <n v="3"/>
    <x v="44"/>
    <s v="Lucas Muller"/>
    <x v="1"/>
    <s v="Netherlands"/>
    <x v="0"/>
    <x v="6"/>
    <n v="13"/>
    <n v="155.71"/>
    <n v="2024.23"/>
    <s v="Bulk"/>
    <x v="2"/>
    <s v="completed"/>
  </r>
  <r>
    <n v="202400658"/>
    <x v="96"/>
    <n v="2024"/>
    <x v="0"/>
    <n v="10"/>
    <x v="51"/>
    <s v="David Rodriguez"/>
    <x v="1"/>
    <s v="Netherlands"/>
    <x v="0"/>
    <x v="4"/>
    <n v="10"/>
    <n v="1963.03"/>
    <n v="19630.3"/>
    <s v="Bulk"/>
    <x v="1"/>
    <s v="completed"/>
  </r>
  <r>
    <n v="202401020"/>
    <x v="97"/>
    <n v="2024"/>
    <x v="1"/>
    <n v="4"/>
    <x v="54"/>
    <s v="James Brown"/>
    <x v="0"/>
    <s v="France"/>
    <x v="0"/>
    <x v="11"/>
    <n v="3"/>
    <n v="1053.8"/>
    <n v="3161.3999999999996"/>
    <s v="Medium"/>
    <x v="2"/>
    <s v="completed"/>
  </r>
  <r>
    <n v="202400555"/>
    <x v="93"/>
    <n v="2024"/>
    <x v="1"/>
    <n v="4"/>
    <x v="53"/>
    <s v="Nora Muller"/>
    <x v="3"/>
    <s v="USA"/>
    <x v="2"/>
    <x v="9"/>
    <n v="13"/>
    <n v="1624.64"/>
    <n v="21120.32"/>
    <s v="Bulk"/>
    <x v="0"/>
    <s v="completed"/>
  </r>
  <r>
    <n v="202400210"/>
    <x v="98"/>
    <n v="2024"/>
    <x v="1"/>
    <n v="6"/>
    <x v="43"/>
    <s v="James Garcia"/>
    <x v="2"/>
    <s v="Australia"/>
    <x v="3"/>
    <x v="12"/>
    <n v="2"/>
    <n v="307.70999999999998"/>
    <n v="615.41999999999996"/>
    <s v="Single"/>
    <x v="2"/>
    <s v="completed"/>
  </r>
  <r>
    <n v="202400635"/>
    <x v="99"/>
    <n v="2024"/>
    <x v="0"/>
    <n v="10"/>
    <x v="55"/>
    <s v="Sarah Johnson"/>
    <x v="2"/>
    <s v="Germany"/>
    <x v="0"/>
    <x v="13"/>
    <n v="14"/>
    <n v="334.3"/>
    <n v="4680.2"/>
    <s v="Bulk"/>
    <x v="2"/>
    <s v="completed"/>
  </r>
  <r>
    <n v="202400631"/>
    <x v="100"/>
    <n v="2024"/>
    <x v="3"/>
    <n v="8"/>
    <x v="41"/>
    <s v="Sophie Garcia"/>
    <x v="1"/>
    <s v="USA"/>
    <x v="2"/>
    <x v="1"/>
    <n v="10"/>
    <n v="1368.72"/>
    <n v="13687.2"/>
    <s v="Bulk"/>
    <x v="1"/>
    <s v="completed"/>
  </r>
  <r>
    <n v="202400410"/>
    <x v="99"/>
    <n v="2024"/>
    <x v="0"/>
    <n v="10"/>
    <x v="54"/>
    <s v="James Brown"/>
    <x v="0"/>
    <s v="France"/>
    <x v="0"/>
    <x v="0"/>
    <n v="3"/>
    <n v="1895.85"/>
    <n v="5687.5499999999993"/>
    <s v="Medium"/>
    <x v="2"/>
    <s v="completed"/>
  </r>
  <r>
    <n v="202401032"/>
    <x v="101"/>
    <n v="2024"/>
    <x v="3"/>
    <n v="8"/>
    <x v="44"/>
    <s v="Lucas Muller"/>
    <x v="1"/>
    <s v="Netherlands"/>
    <x v="0"/>
    <x v="0"/>
    <n v="14"/>
    <n v="1955.61"/>
    <n v="27378.539999999997"/>
    <s v="Bulk"/>
    <x v="1"/>
    <s v="completed"/>
  </r>
  <r>
    <n v="202400644"/>
    <x v="102"/>
    <n v="2024"/>
    <x v="1"/>
    <n v="5"/>
    <x v="56"/>
    <s v="Lisa Chen"/>
    <x v="2"/>
    <s v="Spain"/>
    <x v="0"/>
    <x v="12"/>
    <n v="3"/>
    <n v="1355.03"/>
    <n v="4065.09"/>
    <s v="Medium"/>
    <x v="2"/>
    <s v="shipped"/>
  </r>
  <r>
    <n v="202400466"/>
    <x v="103"/>
    <n v="2024"/>
    <x v="3"/>
    <n v="7"/>
    <x v="3"/>
    <s v="Carlos Tanaka"/>
    <x v="2"/>
    <s v="Italy"/>
    <x v="0"/>
    <x v="8"/>
    <n v="5"/>
    <n v="1684.23"/>
    <n v="8421.15"/>
    <s v="Medium"/>
    <x v="1"/>
    <s v="cancelled"/>
  </r>
  <r>
    <n v="202400406"/>
    <x v="104"/>
    <n v="2024"/>
    <x v="0"/>
    <n v="11"/>
    <x v="27"/>
    <s v="Paul Rodriguez"/>
    <x v="2"/>
    <s v="Spain"/>
    <x v="0"/>
    <x v="4"/>
    <n v="1"/>
    <n v="140.91"/>
    <n v="140.91"/>
    <s v="Single"/>
    <x v="1"/>
    <s v="completed"/>
  </r>
  <r>
    <n v="202400310"/>
    <x v="105"/>
    <n v="2024"/>
    <x v="0"/>
    <n v="12"/>
    <x v="57"/>
    <s v="Emma Johnson"/>
    <x v="1"/>
    <s v="Netherlands"/>
    <x v="0"/>
    <x v="1"/>
    <n v="14"/>
    <n v="950.16"/>
    <n v="13302.24"/>
    <s v="Bulk"/>
    <x v="1"/>
    <s v="completed"/>
  </r>
  <r>
    <n v="202400454"/>
    <x v="106"/>
    <n v="2024"/>
    <x v="0"/>
    <n v="11"/>
    <x v="34"/>
    <s v="Anna Garcia"/>
    <x v="0"/>
    <s v="Germany"/>
    <x v="0"/>
    <x v="2"/>
    <n v="7"/>
    <n v="1081.6099999999999"/>
    <n v="7571.2699999999995"/>
    <s v="Medium"/>
    <x v="2"/>
    <s v="completed"/>
  </r>
  <r>
    <n v="202400209"/>
    <x v="3"/>
    <n v="2024"/>
    <x v="2"/>
    <n v="1"/>
    <x v="58"/>
    <s v="Carlos Nilsson"/>
    <x v="0"/>
    <s v="Germany"/>
    <x v="0"/>
    <x v="14"/>
    <n v="8"/>
    <n v="1069.81"/>
    <n v="8558.48"/>
    <s v="Medium"/>
    <x v="2"/>
    <s v="completed"/>
  </r>
  <r>
    <n v="202400737"/>
    <x v="44"/>
    <n v="2024"/>
    <x v="1"/>
    <n v="5"/>
    <x v="33"/>
    <s v="Sarah Rodriguez"/>
    <x v="0"/>
    <s v="Australia"/>
    <x v="3"/>
    <x v="2"/>
    <n v="5"/>
    <n v="1564.81"/>
    <n v="7824.0499999999993"/>
    <s v="Medium"/>
    <x v="2"/>
    <s v="completed"/>
  </r>
  <r>
    <n v="202400244"/>
    <x v="107"/>
    <n v="2024"/>
    <x v="2"/>
    <n v="2"/>
    <x v="42"/>
    <s v="Lisa Martin"/>
    <x v="0"/>
    <s v="Mexico"/>
    <x v="1"/>
    <x v="4"/>
    <n v="7"/>
    <n v="1505.95"/>
    <n v="10541.65"/>
    <s v="Medium"/>
    <x v="1"/>
    <s v="completed"/>
  </r>
  <r>
    <n v="202400156"/>
    <x v="53"/>
    <n v="2024"/>
    <x v="2"/>
    <n v="2"/>
    <x v="59"/>
    <s v="Anna Nilsson"/>
    <x v="1"/>
    <s v="Spain"/>
    <x v="0"/>
    <x v="14"/>
    <n v="1"/>
    <n v="325"/>
    <n v="325"/>
    <s v="Single"/>
    <x v="2"/>
    <s v="pending"/>
  </r>
  <r>
    <n v="202401115"/>
    <x v="108"/>
    <n v="2024"/>
    <x v="0"/>
    <n v="11"/>
    <x v="59"/>
    <s v="Anna Nilsson"/>
    <x v="1"/>
    <s v="Spain"/>
    <x v="0"/>
    <x v="11"/>
    <n v="1"/>
    <n v="37.770000000000003"/>
    <n v="37.770000000000003"/>
    <s v="Single"/>
    <x v="0"/>
    <s v="completed"/>
  </r>
  <r>
    <n v="202401043"/>
    <x v="109"/>
    <n v="2024"/>
    <x v="0"/>
    <n v="11"/>
    <x v="5"/>
    <s v="James Nilsson"/>
    <x v="1"/>
    <s v="Italy"/>
    <x v="0"/>
    <x v="0"/>
    <n v="2"/>
    <n v="1866.56"/>
    <n v="3733.12"/>
    <s v="Single"/>
    <x v="0"/>
    <s v="completed"/>
  </r>
  <r>
    <n v="202400835"/>
    <x v="110"/>
    <n v="2024"/>
    <x v="3"/>
    <n v="9"/>
    <x v="23"/>
    <s v="David Martin"/>
    <x v="2"/>
    <s v="Canada"/>
    <x v="2"/>
    <x v="13"/>
    <n v="7"/>
    <n v="490.51"/>
    <n v="3433.5699999999997"/>
    <s v="Medium"/>
    <x v="1"/>
    <s v="completed"/>
  </r>
  <r>
    <n v="202400276"/>
    <x v="111"/>
    <n v="2024"/>
    <x v="1"/>
    <n v="4"/>
    <x v="24"/>
    <s v="Lucas Tanaka"/>
    <x v="1"/>
    <s v="Mexico"/>
    <x v="1"/>
    <x v="2"/>
    <n v="13"/>
    <n v="253.02"/>
    <n v="3289.26"/>
    <s v="Bulk"/>
    <x v="0"/>
    <s v="completed"/>
  </r>
  <r>
    <n v="202400614"/>
    <x v="112"/>
    <n v="2024"/>
    <x v="0"/>
    <n v="11"/>
    <x v="60"/>
    <s v="Anna Rossi"/>
    <x v="0"/>
    <s v="Italy"/>
    <x v="0"/>
    <x v="3"/>
    <n v="13"/>
    <n v="1704.57"/>
    <n v="22159.41"/>
    <s v="Bulk"/>
    <x v="0"/>
    <s v="shipped"/>
  </r>
  <r>
    <n v="202400784"/>
    <x v="113"/>
    <n v="2024"/>
    <x v="2"/>
    <n v="1"/>
    <x v="19"/>
    <s v="John Smith"/>
    <x v="3"/>
    <s v="USA"/>
    <x v="2"/>
    <x v="3"/>
    <n v="12"/>
    <n v="422.9"/>
    <n v="5074.7999999999993"/>
    <s v="Bulk"/>
    <x v="2"/>
    <s v="completed"/>
  </r>
  <r>
    <n v="202400382"/>
    <x v="114"/>
    <n v="2024"/>
    <x v="3"/>
    <n v="7"/>
    <x v="19"/>
    <s v="John Smith"/>
    <x v="3"/>
    <s v="USA"/>
    <x v="2"/>
    <x v="2"/>
    <n v="3"/>
    <n v="1760.47"/>
    <n v="5281.41"/>
    <s v="Medium"/>
    <x v="2"/>
    <s v="shipped"/>
  </r>
  <r>
    <n v="202400693"/>
    <x v="115"/>
    <n v="2024"/>
    <x v="2"/>
    <n v="2"/>
    <x v="61"/>
    <s v="Anna Dupont"/>
    <x v="0"/>
    <s v="Brazil"/>
    <x v="1"/>
    <x v="3"/>
    <n v="1"/>
    <n v="462.47"/>
    <n v="462.47"/>
    <s v="Single"/>
    <x v="3"/>
    <s v="completed"/>
  </r>
  <r>
    <n v="202400989"/>
    <x v="86"/>
    <n v="2024"/>
    <x v="3"/>
    <n v="8"/>
    <x v="62"/>
    <s v="Paul Dupont"/>
    <x v="2"/>
    <s v="Netherlands"/>
    <x v="0"/>
    <x v="5"/>
    <n v="11"/>
    <n v="1493.52"/>
    <n v="16428.72"/>
    <s v="Bulk"/>
    <x v="2"/>
    <s v="completed"/>
  </r>
  <r>
    <n v="202400790"/>
    <x v="116"/>
    <n v="2024"/>
    <x v="1"/>
    <n v="5"/>
    <x v="57"/>
    <s v="Emma Johnson"/>
    <x v="1"/>
    <s v="Netherlands"/>
    <x v="0"/>
    <x v="2"/>
    <n v="13"/>
    <n v="385.4"/>
    <n v="5010.2"/>
    <s v="Bulk"/>
    <x v="2"/>
    <s v="refunded"/>
  </r>
  <r>
    <n v="202400200"/>
    <x v="117"/>
    <n v="2024"/>
    <x v="3"/>
    <n v="7"/>
    <x v="59"/>
    <s v="Anna Nilsson"/>
    <x v="1"/>
    <s v="Spain"/>
    <x v="0"/>
    <x v="10"/>
    <n v="8"/>
    <n v="1930.25"/>
    <n v="15442"/>
    <s v="Medium"/>
    <x v="0"/>
    <s v="refunded"/>
  </r>
  <r>
    <n v="202400491"/>
    <x v="118"/>
    <n v="2024"/>
    <x v="2"/>
    <n v="3"/>
    <x v="63"/>
    <s v="Lucas Chen"/>
    <x v="1"/>
    <s v="Italy"/>
    <x v="0"/>
    <x v="11"/>
    <n v="5"/>
    <n v="402.46"/>
    <n v="2012.3"/>
    <s v="Medium"/>
    <x v="1"/>
    <s v="shipped"/>
  </r>
  <r>
    <n v="202400550"/>
    <x v="41"/>
    <n v="2024"/>
    <x v="0"/>
    <n v="12"/>
    <x v="42"/>
    <s v="Lisa Martin"/>
    <x v="0"/>
    <s v="Mexico"/>
    <x v="1"/>
    <x v="0"/>
    <n v="13"/>
    <n v="1497.65"/>
    <n v="19469.45"/>
    <s v="Bulk"/>
    <x v="2"/>
    <s v="completed"/>
  </r>
  <r>
    <n v="202400463"/>
    <x v="119"/>
    <n v="2024"/>
    <x v="3"/>
    <n v="7"/>
    <x v="61"/>
    <s v="Anna Dupont"/>
    <x v="0"/>
    <s v="Brazil"/>
    <x v="1"/>
    <x v="6"/>
    <n v="5"/>
    <n v="1159.6500000000001"/>
    <n v="5798.25"/>
    <s v="Medium"/>
    <x v="3"/>
    <s v="completed"/>
  </r>
  <r>
    <n v="202400731"/>
    <x v="120"/>
    <n v="2024"/>
    <x v="1"/>
    <n v="4"/>
    <x v="2"/>
    <s v="John Wilson"/>
    <x v="0"/>
    <s v="Mexico"/>
    <x v="1"/>
    <x v="6"/>
    <n v="1"/>
    <n v="1116.6099999999999"/>
    <n v="1116.6099999999999"/>
    <s v="Single"/>
    <x v="1"/>
    <s v="completed"/>
  </r>
  <r>
    <n v="202401156"/>
    <x v="121"/>
    <n v="2024"/>
    <x v="1"/>
    <n v="6"/>
    <x v="1"/>
    <s v="Carlos Muller"/>
    <x v="1"/>
    <s v="Netherlands"/>
    <x v="0"/>
    <x v="2"/>
    <n v="5"/>
    <n v="1396.12"/>
    <n v="6980.5999999999995"/>
    <s v="Medium"/>
    <x v="3"/>
    <s v="completed"/>
  </r>
  <r>
    <n v="202400980"/>
    <x v="122"/>
    <n v="2024"/>
    <x v="1"/>
    <n v="6"/>
    <x v="25"/>
    <s v="Sophie Martin"/>
    <x v="3"/>
    <s v="Canada"/>
    <x v="2"/>
    <x v="12"/>
    <n v="13"/>
    <n v="1556.77"/>
    <n v="20238.009999999998"/>
    <s v="Bulk"/>
    <x v="2"/>
    <s v="shipped"/>
  </r>
  <r>
    <n v="202400935"/>
    <x v="123"/>
    <n v="2024"/>
    <x v="0"/>
    <n v="12"/>
    <x v="18"/>
    <s v="Marie Tanaka"/>
    <x v="0"/>
    <s v="Brazil"/>
    <x v="1"/>
    <x v="11"/>
    <n v="5"/>
    <n v="1553.9"/>
    <n v="7769.5"/>
    <s v="Medium"/>
    <x v="0"/>
    <s v="completed"/>
  </r>
  <r>
    <n v="202400462"/>
    <x v="108"/>
    <n v="2024"/>
    <x v="0"/>
    <n v="11"/>
    <x v="38"/>
    <s v="Nora Rodriguez"/>
    <x v="3"/>
    <s v="Germany"/>
    <x v="0"/>
    <x v="6"/>
    <n v="2"/>
    <n v="1685.62"/>
    <n v="3371.24"/>
    <s v="Single"/>
    <x v="2"/>
    <s v="completed"/>
  </r>
  <r>
    <n v="202400546"/>
    <x v="124"/>
    <n v="2024"/>
    <x v="0"/>
    <n v="12"/>
    <x v="64"/>
    <s v="Maria Wilson"/>
    <x v="2"/>
    <s v="Germany"/>
    <x v="0"/>
    <x v="1"/>
    <n v="10"/>
    <n v="598.75"/>
    <n v="5987.5"/>
    <s v="Bulk"/>
    <x v="1"/>
    <s v="completed"/>
  </r>
  <r>
    <n v="202400297"/>
    <x v="125"/>
    <n v="2024"/>
    <x v="0"/>
    <n v="12"/>
    <x v="25"/>
    <s v="Sophie Martin"/>
    <x v="3"/>
    <s v="Canada"/>
    <x v="2"/>
    <x v="10"/>
    <n v="4"/>
    <n v="345.92"/>
    <n v="1383.68"/>
    <s v="Medium"/>
    <x v="2"/>
    <s v="shipped"/>
  </r>
  <r>
    <n v="202400712"/>
    <x v="125"/>
    <n v="2024"/>
    <x v="0"/>
    <n v="12"/>
    <x v="8"/>
    <s v="Julia Johnson"/>
    <x v="2"/>
    <s v="France"/>
    <x v="0"/>
    <x v="14"/>
    <n v="8"/>
    <n v="526.92999999999995"/>
    <n v="4215.4399999999996"/>
    <s v="Medium"/>
    <x v="0"/>
    <s v="completed"/>
  </r>
  <r>
    <n v="202400433"/>
    <x v="126"/>
    <n v="2024"/>
    <x v="1"/>
    <n v="4"/>
    <x v="42"/>
    <s v="Lisa Martin"/>
    <x v="0"/>
    <s v="Mexico"/>
    <x v="1"/>
    <x v="8"/>
    <n v="7"/>
    <n v="1227.03"/>
    <n v="8589.2099999999991"/>
    <s v="Medium"/>
    <x v="1"/>
    <s v="pending"/>
  </r>
  <r>
    <n v="202400260"/>
    <x v="127"/>
    <n v="2024"/>
    <x v="1"/>
    <n v="5"/>
    <x v="3"/>
    <s v="Carlos Tanaka"/>
    <x v="2"/>
    <s v="Italy"/>
    <x v="0"/>
    <x v="3"/>
    <n v="4"/>
    <n v="1566.68"/>
    <n v="6266.72"/>
    <s v="Medium"/>
    <x v="1"/>
    <s v="pending"/>
  </r>
  <r>
    <n v="202400434"/>
    <x v="128"/>
    <n v="2024"/>
    <x v="0"/>
    <n v="12"/>
    <x v="36"/>
    <s v="Lisa Chen"/>
    <x v="0"/>
    <s v="France"/>
    <x v="0"/>
    <x v="7"/>
    <n v="7"/>
    <n v="938.5"/>
    <n v="6569.5"/>
    <s v="Medium"/>
    <x v="2"/>
    <s v="pending "/>
  </r>
  <r>
    <n v="202400332"/>
    <x v="129"/>
    <n v="2024"/>
    <x v="1"/>
    <n v="4"/>
    <x v="65"/>
    <s v="Lucas Muller"/>
    <x v="1"/>
    <s v="Germany"/>
    <x v="0"/>
    <x v="6"/>
    <n v="1"/>
    <n v="709.38"/>
    <n v="709.38"/>
    <s v="Single"/>
    <x v="2"/>
    <s v="pending"/>
  </r>
  <r>
    <n v="202400495"/>
    <x v="130"/>
    <n v="2024"/>
    <x v="0"/>
    <n v="10"/>
    <x v="17"/>
    <s v="Maria Johnson"/>
    <x v="0"/>
    <s v="Brazil"/>
    <x v="1"/>
    <x v="6"/>
    <n v="8"/>
    <n v="1331.61"/>
    <n v="10652.88"/>
    <s v="Medium"/>
    <x v="3"/>
    <s v="completed"/>
  </r>
  <r>
    <n v="202400169"/>
    <x v="46"/>
    <n v="2024"/>
    <x v="2"/>
    <n v="2"/>
    <x v="66"/>
    <s v="Sarah Leclerc"/>
    <x v="3"/>
    <s v="Germany"/>
    <x v="0"/>
    <x v="0"/>
    <n v="2"/>
    <n v="770.32"/>
    <n v="1540.64"/>
    <s v="Single"/>
    <x v="3"/>
    <s v="completed"/>
  </r>
  <r>
    <n v="202400136"/>
    <x v="131"/>
    <n v="2024"/>
    <x v="3"/>
    <n v="7"/>
    <x v="45"/>
    <s v="Pierre Wilson"/>
    <x v="3"/>
    <s v="Australia"/>
    <x v="3"/>
    <x v="7"/>
    <n v="5"/>
    <n v="1136.3900000000001"/>
    <n v="5681.9500000000007"/>
    <s v="Medium"/>
    <x v="2"/>
    <s v="completed"/>
  </r>
  <r>
    <n v="202400535"/>
    <x v="28"/>
    <n v="2024"/>
    <x v="1"/>
    <n v="5"/>
    <x v="67"/>
    <s v="Nora Chen"/>
    <x v="3"/>
    <s v="UK"/>
    <x v="0"/>
    <x v="10"/>
    <n v="4"/>
    <n v="663.59"/>
    <n v="2654.36"/>
    <s v="Medium"/>
    <x v="0"/>
    <s v="shipped"/>
  </r>
  <r>
    <n v="202400429"/>
    <x v="89"/>
    <n v="2024"/>
    <x v="2"/>
    <n v="1"/>
    <x v="68"/>
    <s v="Nora Rodriguez"/>
    <x v="0"/>
    <s v="Mexico"/>
    <x v="1"/>
    <x v="4"/>
    <n v="10"/>
    <n v="979.48"/>
    <n v="9794.7999999999993"/>
    <s v="Bulk"/>
    <x v="2"/>
    <s v="completed"/>
  </r>
  <r>
    <n v="202400329"/>
    <x v="132"/>
    <n v="2024"/>
    <x v="1"/>
    <n v="5"/>
    <x v="53"/>
    <s v="Nora Muller"/>
    <x v="3"/>
    <s v="USA"/>
    <x v="2"/>
    <x v="13"/>
    <n v="11"/>
    <n v="133.15"/>
    <n v="1464.65"/>
    <s v="Bulk"/>
    <x v="1"/>
    <s v="completed"/>
  </r>
  <r>
    <n v="202400159"/>
    <x v="74"/>
    <n v="2024"/>
    <x v="1"/>
    <n v="6"/>
    <x v="35"/>
    <s v="John Rodriguez"/>
    <x v="2"/>
    <s v="USA"/>
    <x v="2"/>
    <x v="8"/>
    <n v="1"/>
    <n v="1402.41"/>
    <n v="1402.41"/>
    <s v="Single"/>
    <x v="2"/>
    <s v="pending"/>
  </r>
  <r>
    <n v="202400141"/>
    <x v="133"/>
    <n v="2024"/>
    <x v="1"/>
    <n v="5"/>
    <x v="52"/>
    <s v="Emma Garcia"/>
    <x v="2"/>
    <s v="Mexico"/>
    <x v="1"/>
    <x v="2"/>
    <n v="14"/>
    <n v="1718.65"/>
    <n v="24061.100000000002"/>
    <s v="Bulk"/>
    <x v="0"/>
    <s v="pending"/>
  </r>
  <r>
    <n v="202400869"/>
    <x v="134"/>
    <n v="2024"/>
    <x v="3"/>
    <n v="7"/>
    <x v="28"/>
    <s v="Julia Nilsson"/>
    <x v="3"/>
    <s v="Brazil"/>
    <x v="1"/>
    <x v="6"/>
    <n v="6"/>
    <n v="596.49"/>
    <n v="3578.94"/>
    <s v="Medium"/>
    <x v="2"/>
    <s v="shipped"/>
  </r>
  <r>
    <n v="202400315"/>
    <x v="46"/>
    <n v="2024"/>
    <x v="2"/>
    <n v="2"/>
    <x v="66"/>
    <s v="Sarah Leclerc"/>
    <x v="3"/>
    <s v="Germany"/>
    <x v="0"/>
    <x v="6"/>
    <n v="10"/>
    <n v="545.49"/>
    <n v="5454.9"/>
    <s v="Bulk"/>
    <x v="2"/>
    <s v="completed"/>
  </r>
  <r>
    <n v="202400175"/>
    <x v="123"/>
    <n v="2024"/>
    <x v="0"/>
    <n v="12"/>
    <x v="69"/>
    <s v="Pierre Rossi"/>
    <x v="3"/>
    <s v="Germany"/>
    <x v="0"/>
    <x v="11"/>
    <n v="4"/>
    <n v="589.23"/>
    <n v="2356.92"/>
    <s v="Medium"/>
    <x v="2"/>
    <s v="completed"/>
  </r>
  <r>
    <n v="202401103"/>
    <x v="129"/>
    <n v="2024"/>
    <x v="1"/>
    <n v="4"/>
    <x v="12"/>
    <s v="Nora Tanaka"/>
    <x v="3"/>
    <s v="France"/>
    <x v="0"/>
    <x v="3"/>
    <n v="7"/>
    <n v="635.48"/>
    <n v="4448.3600000000006"/>
    <s v="Medium"/>
    <x v="1"/>
    <s v="pending "/>
  </r>
  <r>
    <n v="202400219"/>
    <x v="55"/>
    <n v="2024"/>
    <x v="2"/>
    <n v="3"/>
    <x v="15"/>
    <s v="Anna Muller"/>
    <x v="1"/>
    <s v="Germany"/>
    <x v="0"/>
    <x v="4"/>
    <n v="5"/>
    <n v="909.68"/>
    <n v="4548.3999999999996"/>
    <s v="Medium"/>
    <x v="3"/>
    <s v="completed"/>
  </r>
  <r>
    <n v="202400221"/>
    <x v="135"/>
    <n v="2024"/>
    <x v="2"/>
    <n v="1"/>
    <x v="11"/>
    <s v="Paul Martin"/>
    <x v="0"/>
    <s v="Spain"/>
    <x v="0"/>
    <x v="13"/>
    <n v="1"/>
    <n v="1441.66"/>
    <n v="1441.66"/>
    <s v="Single"/>
    <x v="2"/>
    <s v="completed"/>
  </r>
  <r>
    <n v="202400266"/>
    <x v="136"/>
    <n v="2024"/>
    <x v="0"/>
    <n v="10"/>
    <x v="52"/>
    <s v="Emma Garcia"/>
    <x v="2"/>
    <s v="Mexico"/>
    <x v="1"/>
    <x v="14"/>
    <n v="12"/>
    <n v="1708.85"/>
    <n v="20506.199999999997"/>
    <s v="Bulk"/>
    <x v="2"/>
    <s v="completed"/>
  </r>
  <r>
    <n v="202400867"/>
    <x v="137"/>
    <n v="2024"/>
    <x v="1"/>
    <n v="5"/>
    <x v="65"/>
    <s v="Lucas Muller"/>
    <x v="1"/>
    <s v="Germany"/>
    <x v="0"/>
    <x v="5"/>
    <n v="5"/>
    <n v="1343.53"/>
    <n v="6717.65"/>
    <s v="Medium"/>
    <x v="1"/>
    <s v="shipped"/>
  </r>
  <r>
    <n v="202400443"/>
    <x v="5"/>
    <n v="2024"/>
    <x v="0"/>
    <n v="10"/>
    <x v="8"/>
    <s v="Julia Johnson"/>
    <x v="2"/>
    <s v="France"/>
    <x v="0"/>
    <x v="10"/>
    <n v="1"/>
    <n v="943.52"/>
    <n v="943.52"/>
    <s v="Single"/>
    <x v="2"/>
    <s v="completed"/>
  </r>
  <r>
    <n v="202400558"/>
    <x v="25"/>
    <n v="2024"/>
    <x v="1"/>
    <n v="6"/>
    <x v="3"/>
    <s v="Carlos Tanaka"/>
    <x v="2"/>
    <s v="Italy"/>
    <x v="0"/>
    <x v="13"/>
    <n v="4"/>
    <n v="1223.6600000000001"/>
    <n v="4894.6400000000003"/>
    <s v="Medium"/>
    <x v="2"/>
    <s v="shipped"/>
  </r>
  <r>
    <n v="202400185"/>
    <x v="138"/>
    <n v="2024"/>
    <x v="1"/>
    <n v="6"/>
    <x v="66"/>
    <s v="Sarah Leclerc"/>
    <x v="3"/>
    <s v="Germany"/>
    <x v="0"/>
    <x v="3"/>
    <n v="7"/>
    <n v="279.55"/>
    <n v="1956.8500000000001"/>
    <s v="Medium"/>
    <x v="2"/>
    <s v="refunded"/>
  </r>
  <r>
    <n v="202400552"/>
    <x v="139"/>
    <n v="2024"/>
    <x v="2"/>
    <n v="1"/>
    <x v="33"/>
    <s v="Sarah Rodriguez"/>
    <x v="0"/>
    <s v="Australia"/>
    <x v="3"/>
    <x v="6"/>
    <n v="7"/>
    <n v="708.78"/>
    <n v="4961.46"/>
    <s v="Medium"/>
    <x v="1"/>
    <s v="pending "/>
  </r>
  <r>
    <n v="202400946"/>
    <x v="111"/>
    <n v="2024"/>
    <x v="1"/>
    <n v="4"/>
    <x v="65"/>
    <s v="Lucas Muller"/>
    <x v="1"/>
    <s v="Germany"/>
    <x v="0"/>
    <x v="7"/>
    <n v="8"/>
    <n v="864.28"/>
    <n v="6914.24"/>
    <s v="Medium"/>
    <x v="2"/>
    <s v="refunded"/>
  </r>
  <r>
    <n v="202400902"/>
    <x v="140"/>
    <n v="2024"/>
    <x v="2"/>
    <n v="1"/>
    <x v="4"/>
    <s v="Maria Smith"/>
    <x v="1"/>
    <s v="Italy"/>
    <x v="0"/>
    <x v="7"/>
    <n v="3"/>
    <n v="1081.02"/>
    <n v="3243.06"/>
    <s v="Medium"/>
    <x v="2"/>
    <s v="completed"/>
  </r>
  <r>
    <n v="202400164"/>
    <x v="141"/>
    <n v="2024"/>
    <x v="3"/>
    <n v="8"/>
    <x v="36"/>
    <s v="Lisa Chen"/>
    <x v="0"/>
    <s v="France"/>
    <x v="0"/>
    <x v="4"/>
    <n v="4"/>
    <n v="1620.34"/>
    <n v="6481.36"/>
    <s v="Medium"/>
    <x v="1"/>
    <s v="pending"/>
  </r>
  <r>
    <n v="202400573"/>
    <x v="126"/>
    <n v="2024"/>
    <x v="1"/>
    <n v="4"/>
    <x v="22"/>
    <s v="Nora Muller"/>
    <x v="0"/>
    <s v="Japan"/>
    <x v="3"/>
    <x v="10"/>
    <n v="6"/>
    <n v="1268.44"/>
    <n v="7610.64"/>
    <s v="Medium"/>
    <x v="0"/>
    <s v="completed"/>
  </r>
  <r>
    <n v="202400951"/>
    <x v="116"/>
    <n v="2024"/>
    <x v="1"/>
    <n v="5"/>
    <x v="10"/>
    <s v="John Garcia"/>
    <x v="3"/>
    <s v="Brazil"/>
    <x v="1"/>
    <x v="6"/>
    <n v="12"/>
    <n v="1242.4000000000001"/>
    <n v="14908.800000000001"/>
    <s v="Bulk"/>
    <x v="2"/>
    <s v="completed"/>
  </r>
  <r>
    <n v="202400157"/>
    <x v="142"/>
    <n v="2024"/>
    <x v="0"/>
    <n v="12"/>
    <x v="18"/>
    <s v="Marie Tanaka"/>
    <x v="0"/>
    <s v="Brazil"/>
    <x v="1"/>
    <x v="3"/>
    <n v="13"/>
    <n v="847.25"/>
    <n v="11014.25"/>
    <s v="Bulk"/>
    <x v="2"/>
    <s v="completed"/>
  </r>
  <r>
    <n v="202400886"/>
    <x v="143"/>
    <n v="2024"/>
    <x v="0"/>
    <n v="11"/>
    <x v="12"/>
    <s v="Nora Tanaka"/>
    <x v="3"/>
    <s v="France"/>
    <x v="0"/>
    <x v="5"/>
    <n v="9"/>
    <n v="835.51"/>
    <n v="7519.59"/>
    <s v="Medium"/>
    <x v="2"/>
    <s v="completed"/>
  </r>
  <r>
    <n v="202400507"/>
    <x v="64"/>
    <n v="2024"/>
    <x v="1"/>
    <n v="6"/>
    <x v="70"/>
    <s v="David Smith"/>
    <x v="0"/>
    <s v="Canada"/>
    <x v="2"/>
    <x v="14"/>
    <n v="9"/>
    <n v="1891.21"/>
    <n v="17020.89"/>
    <s v="Medium"/>
    <x v="3"/>
    <s v="completed"/>
  </r>
  <r>
    <n v="202401143"/>
    <x v="6"/>
    <n v="2024"/>
    <x v="3"/>
    <n v="9"/>
    <x v="62"/>
    <s v="Paul Dupont"/>
    <x v="2"/>
    <s v="Netherlands"/>
    <x v="0"/>
    <x v="10"/>
    <n v="2"/>
    <n v="1076.07"/>
    <n v="2152.14"/>
    <s v="Single"/>
    <x v="2"/>
    <s v="shipped"/>
  </r>
  <r>
    <n v="202400926"/>
    <x v="144"/>
    <n v="2024"/>
    <x v="1"/>
    <n v="6"/>
    <x v="16"/>
    <s v="Sophie Tanaka"/>
    <x v="3"/>
    <s v="Australia"/>
    <x v="3"/>
    <x v="11"/>
    <n v="14"/>
    <n v="96.02"/>
    <n v="1344.28"/>
    <s v="Bulk"/>
    <x v="3"/>
    <s v="shipped"/>
  </r>
  <r>
    <n v="202401036"/>
    <x v="117"/>
    <n v="2024"/>
    <x v="3"/>
    <n v="7"/>
    <x v="26"/>
    <s v="Emma Leclerc"/>
    <x v="1"/>
    <s v="Canada"/>
    <x v="2"/>
    <x v="14"/>
    <n v="14"/>
    <n v="830.68"/>
    <n v="11629.519999999999"/>
    <s v="Bulk"/>
    <x v="2"/>
    <s v="completed"/>
  </r>
  <r>
    <n v="202400291"/>
    <x v="145"/>
    <n v="2024"/>
    <x v="0"/>
    <n v="10"/>
    <x v="65"/>
    <s v="Lucas Muller"/>
    <x v="1"/>
    <s v="Germany"/>
    <x v="0"/>
    <x v="14"/>
    <n v="8"/>
    <n v="737.91"/>
    <n v="5903.28"/>
    <s v="Medium"/>
    <x v="2"/>
    <s v="pending"/>
  </r>
  <r>
    <n v="202400683"/>
    <x v="146"/>
    <n v="2024"/>
    <x v="1"/>
    <n v="4"/>
    <x v="71"/>
    <s v="Carlos Dupont"/>
    <x v="0"/>
    <s v="Netherlands"/>
    <x v="0"/>
    <x v="6"/>
    <n v="1"/>
    <n v="770.69"/>
    <n v="770.69"/>
    <s v="Single"/>
    <x v="1"/>
    <s v="shipped"/>
  </r>
  <r>
    <n v="202400999"/>
    <x v="41"/>
    <n v="2024"/>
    <x v="0"/>
    <n v="12"/>
    <x v="32"/>
    <s v="Marie Nilsson"/>
    <x v="1"/>
    <s v="Brazil"/>
    <x v="1"/>
    <x v="0"/>
    <n v="5"/>
    <n v="1270.4000000000001"/>
    <n v="6352"/>
    <s v="Medium"/>
    <x v="1"/>
    <s v="shipped"/>
  </r>
  <r>
    <n v="202400765"/>
    <x v="106"/>
    <n v="2024"/>
    <x v="0"/>
    <n v="11"/>
    <x v="10"/>
    <s v="John Garcia"/>
    <x v="3"/>
    <s v="Brazil"/>
    <x v="1"/>
    <x v="0"/>
    <n v="14"/>
    <n v="316.67"/>
    <n v="4433.38"/>
    <s v="Bulk"/>
    <x v="2"/>
    <s v="completed"/>
  </r>
  <r>
    <n v="202400193"/>
    <x v="147"/>
    <n v="2024"/>
    <x v="2"/>
    <n v="2"/>
    <x v="31"/>
    <s v="Carlos Wilson"/>
    <x v="0"/>
    <s v="Australia"/>
    <x v="3"/>
    <x v="10"/>
    <n v="10"/>
    <n v="1208.8599999999999"/>
    <n v="12088.599999999999"/>
    <s v="Bulk"/>
    <x v="2"/>
    <s v="completed"/>
  </r>
  <r>
    <n v="202400528"/>
    <x v="148"/>
    <n v="2024"/>
    <x v="1"/>
    <n v="6"/>
    <x v="28"/>
    <s v="Julia Nilsson"/>
    <x v="3"/>
    <s v="Brazil"/>
    <x v="1"/>
    <x v="11"/>
    <n v="12"/>
    <n v="715.48"/>
    <n v="8585.76"/>
    <s v="Bulk"/>
    <x v="1"/>
    <s v="completed"/>
  </r>
  <r>
    <n v="202400439"/>
    <x v="149"/>
    <n v="2024"/>
    <x v="0"/>
    <n v="12"/>
    <x v="32"/>
    <s v="Marie Nilsson"/>
    <x v="1"/>
    <s v="Brazil"/>
    <x v="1"/>
    <x v="1"/>
    <n v="7"/>
    <n v="1244.27"/>
    <n v="8709.89"/>
    <s v="Medium"/>
    <x v="1"/>
    <s v="completed"/>
  </r>
  <r>
    <n v="202400287"/>
    <x v="150"/>
    <n v="2024"/>
    <x v="2"/>
    <n v="1"/>
    <x v="54"/>
    <s v="James Brown"/>
    <x v="0"/>
    <s v="France"/>
    <x v="0"/>
    <x v="10"/>
    <n v="11"/>
    <n v="216.43"/>
    <n v="2380.73"/>
    <s v="Bulk"/>
    <x v="3"/>
    <s v="completed"/>
  </r>
  <r>
    <n v="202400428"/>
    <x v="151"/>
    <n v="2024"/>
    <x v="3"/>
    <n v="8"/>
    <x v="55"/>
    <s v="Sarah Johnson"/>
    <x v="2"/>
    <s v="Germany"/>
    <x v="0"/>
    <x v="10"/>
    <n v="14"/>
    <n v="1655.94"/>
    <n v="23183.16"/>
    <s v="Bulk"/>
    <x v="0"/>
    <s v="pending"/>
  </r>
  <r>
    <n v="202400977"/>
    <x v="152"/>
    <n v="2024"/>
    <x v="2"/>
    <n v="3"/>
    <x v="37"/>
    <s v="Pierre Smith"/>
    <x v="0"/>
    <s v="Australia"/>
    <x v="3"/>
    <x v="2"/>
    <n v="2"/>
    <n v="1628.15"/>
    <n v="3256.3"/>
    <s v="Single"/>
    <x v="2"/>
    <s v="completed"/>
  </r>
  <r>
    <n v="202400574"/>
    <x v="153"/>
    <n v="2024"/>
    <x v="1"/>
    <n v="5"/>
    <x v="49"/>
    <s v="Marie Smith"/>
    <x v="1"/>
    <s v="Netherlands"/>
    <x v="0"/>
    <x v="2"/>
    <n v="9"/>
    <n v="750.59"/>
    <n v="6755.31"/>
    <s v="Medium"/>
    <x v="1"/>
    <s v="completed"/>
  </r>
  <r>
    <n v="202400533"/>
    <x v="154"/>
    <n v="2024"/>
    <x v="2"/>
    <n v="1"/>
    <x v="61"/>
    <s v="Anna Dupont"/>
    <x v="0"/>
    <s v="Brazil"/>
    <x v="1"/>
    <x v="5"/>
    <n v="8"/>
    <n v="1464.39"/>
    <n v="11715.12"/>
    <s v="Medium"/>
    <x v="2"/>
    <s v="pending"/>
  </r>
  <r>
    <n v="202400753"/>
    <x v="128"/>
    <n v="2024"/>
    <x v="0"/>
    <n v="12"/>
    <x v="52"/>
    <s v="Emma Garcia"/>
    <x v="2"/>
    <s v="Mexico"/>
    <x v="1"/>
    <x v="10"/>
    <n v="13"/>
    <n v="1009.72"/>
    <n v="13126.36"/>
    <s v="Bulk"/>
    <x v="1"/>
    <s v="completed"/>
  </r>
  <r>
    <n v="202400097"/>
    <x v="113"/>
    <n v="2024"/>
    <x v="2"/>
    <n v="1"/>
    <x v="62"/>
    <s v="Paul Dupont"/>
    <x v="2"/>
    <s v="Netherlands"/>
    <x v="0"/>
    <x v="0"/>
    <n v="11"/>
    <n v="753.24"/>
    <n v="8285.64"/>
    <s v="Bulk"/>
    <x v="1"/>
    <s v="completed"/>
  </r>
  <r>
    <n v="202401129"/>
    <x v="155"/>
    <n v="2024"/>
    <x v="0"/>
    <n v="10"/>
    <x v="53"/>
    <s v="Nora Muller"/>
    <x v="3"/>
    <s v="USA"/>
    <x v="2"/>
    <x v="12"/>
    <n v="4"/>
    <n v="609.41999999999996"/>
    <n v="2437.6799999999998"/>
    <s v="Medium"/>
    <x v="2"/>
    <s v="cancelled"/>
  </r>
  <r>
    <n v="202400837"/>
    <x v="156"/>
    <n v="2024"/>
    <x v="3"/>
    <n v="9"/>
    <x v="13"/>
    <s v="Nora Brown"/>
    <x v="3"/>
    <s v="Italy"/>
    <x v="0"/>
    <x v="0"/>
    <n v="10"/>
    <n v="163.5"/>
    <n v="1635"/>
    <s v="Bulk"/>
    <x v="3"/>
    <s v="shipped"/>
  </r>
  <r>
    <n v="202400179"/>
    <x v="94"/>
    <n v="2024"/>
    <x v="3"/>
    <n v="7"/>
    <x v="43"/>
    <s v="James Garcia"/>
    <x v="2"/>
    <s v="Australia"/>
    <x v="3"/>
    <x v="14"/>
    <n v="9"/>
    <n v="704.32"/>
    <n v="6338.88"/>
    <s v="Medium"/>
    <x v="2"/>
    <s v="completed"/>
  </r>
  <r>
    <n v="202400032"/>
    <x v="43"/>
    <n v="2024"/>
    <x v="0"/>
    <n v="10"/>
    <x v="53"/>
    <s v="Nora Muller"/>
    <x v="3"/>
    <s v="USA"/>
    <x v="2"/>
    <x v="2"/>
    <n v="8"/>
    <n v="557.84"/>
    <n v="4462.72"/>
    <s v="Medium"/>
    <x v="1"/>
    <s v="completed"/>
  </r>
  <r>
    <n v="202400728"/>
    <x v="157"/>
    <n v="2024"/>
    <x v="2"/>
    <n v="1"/>
    <x v="58"/>
    <s v="Carlos Nilsson"/>
    <x v="0"/>
    <s v="Germany"/>
    <x v="0"/>
    <x v="4"/>
    <n v="7"/>
    <n v="1771.91"/>
    <n v="12403.37"/>
    <s v="Medium"/>
    <x v="2"/>
    <s v="shipped"/>
  </r>
  <r>
    <n v="202400873"/>
    <x v="158"/>
    <n v="2024"/>
    <x v="1"/>
    <n v="4"/>
    <x v="26"/>
    <s v="Emma Leclerc"/>
    <x v="1"/>
    <s v="Canada"/>
    <x v="2"/>
    <x v="7"/>
    <n v="7"/>
    <n v="1506.1"/>
    <n v="10542.699999999999"/>
    <s v="Medium"/>
    <x v="2"/>
    <s v="completed"/>
  </r>
  <r>
    <n v="202400343"/>
    <x v="159"/>
    <n v="2024"/>
    <x v="0"/>
    <n v="11"/>
    <x v="69"/>
    <s v="Pierre Rossi"/>
    <x v="3"/>
    <s v="Germany"/>
    <x v="0"/>
    <x v="13"/>
    <n v="6"/>
    <n v="1163.99"/>
    <n v="6983.9400000000005"/>
    <s v="Medium"/>
    <x v="0"/>
    <s v="completed"/>
  </r>
  <r>
    <n v="202401063"/>
    <x v="160"/>
    <n v="2024"/>
    <x v="0"/>
    <n v="12"/>
    <x v="1"/>
    <s v="Carlos Muller"/>
    <x v="1"/>
    <s v="Netherlands"/>
    <x v="0"/>
    <x v="4"/>
    <n v="6"/>
    <n v="525.74"/>
    <n v="3154.44"/>
    <s v="Medium"/>
    <x v="2"/>
    <s v="cancelled"/>
  </r>
  <r>
    <n v="202400248"/>
    <x v="161"/>
    <n v="2024"/>
    <x v="0"/>
    <n v="11"/>
    <x v="11"/>
    <s v="Paul Martin"/>
    <x v="0"/>
    <s v="Spain"/>
    <x v="0"/>
    <x v="2"/>
    <n v="9"/>
    <n v="952.67"/>
    <n v="8574.0299999999988"/>
    <s v="Medium"/>
    <x v="0"/>
    <s v="completed"/>
  </r>
  <r>
    <n v="202400328"/>
    <x v="162"/>
    <n v="2024"/>
    <x v="1"/>
    <n v="5"/>
    <x v="9"/>
    <s v="Maria Martin"/>
    <x v="1"/>
    <s v="Germany"/>
    <x v="0"/>
    <x v="12"/>
    <n v="8"/>
    <n v="569.79"/>
    <n v="4558.32"/>
    <s v="Medium"/>
    <x v="2"/>
    <s v="shipped"/>
  </r>
  <r>
    <n v="202400708"/>
    <x v="163"/>
    <n v="2024"/>
    <x v="1"/>
    <n v="6"/>
    <x v="72"/>
    <s v="Sophie Brown"/>
    <x v="1"/>
    <s v="Australia"/>
    <x v="3"/>
    <x v="0"/>
    <n v="3"/>
    <n v="922.6"/>
    <n v="2767.8"/>
    <s v="Medium"/>
    <x v="3"/>
    <s v="refunded"/>
  </r>
  <r>
    <n v="202400381"/>
    <x v="164"/>
    <n v="2024"/>
    <x v="3"/>
    <n v="8"/>
    <x v="73"/>
    <s v="Emma Dupont"/>
    <x v="1"/>
    <s v="USA"/>
    <x v="2"/>
    <x v="11"/>
    <n v="12"/>
    <n v="843.23"/>
    <n v="10118.76"/>
    <s v="Bulk"/>
    <x v="0"/>
    <s v="pending"/>
  </r>
  <r>
    <n v="202400089"/>
    <x v="165"/>
    <n v="2024"/>
    <x v="2"/>
    <n v="2"/>
    <x v="46"/>
    <s v="Marie Martin"/>
    <x v="3"/>
    <s v="Canada"/>
    <x v="2"/>
    <x v="9"/>
    <n v="9"/>
    <n v="989.8"/>
    <n v="8908.1999999999989"/>
    <s v="Medium"/>
    <x v="1"/>
    <s v="pending"/>
  </r>
  <r>
    <n v="202400554"/>
    <x v="162"/>
    <n v="2024"/>
    <x v="1"/>
    <n v="5"/>
    <x v="62"/>
    <s v="Paul Dupont"/>
    <x v="2"/>
    <s v="Netherlands"/>
    <x v="0"/>
    <x v="2"/>
    <n v="2"/>
    <n v="1819.18"/>
    <n v="3638.36"/>
    <s v="Single"/>
    <x v="2"/>
    <s v="cancelled"/>
  </r>
  <r>
    <n v="202400979"/>
    <x v="166"/>
    <n v="2024"/>
    <x v="2"/>
    <n v="3"/>
    <x v="51"/>
    <s v="David Rodriguez"/>
    <x v="1"/>
    <s v="Netherlands"/>
    <x v="0"/>
    <x v="6"/>
    <n v="7"/>
    <n v="130.27000000000001"/>
    <n v="911.8900000000001"/>
    <s v="Medium"/>
    <x v="2"/>
    <s v="shipped"/>
  </r>
  <r>
    <n v="202400870"/>
    <x v="167"/>
    <n v="2024"/>
    <x v="0"/>
    <n v="10"/>
    <x v="14"/>
    <s v="Sophie Nilsson"/>
    <x v="2"/>
    <s v="Japan"/>
    <x v="3"/>
    <x v="3"/>
    <n v="14"/>
    <n v="1140.9000000000001"/>
    <n v="15972.600000000002"/>
    <s v="Bulk"/>
    <x v="2"/>
    <s v="completed"/>
  </r>
  <r>
    <n v="202401051"/>
    <x v="168"/>
    <n v="2024"/>
    <x v="3"/>
    <n v="7"/>
    <x v="41"/>
    <s v="Sophie Garcia"/>
    <x v="1"/>
    <s v="USA"/>
    <x v="2"/>
    <x v="1"/>
    <n v="12"/>
    <n v="18.13"/>
    <n v="217.56"/>
    <s v="Bulk"/>
    <x v="2"/>
    <s v="shipped"/>
  </r>
  <r>
    <n v="202400320"/>
    <x v="169"/>
    <n v="2024"/>
    <x v="2"/>
    <n v="1"/>
    <x v="61"/>
    <s v="Anna Dupont"/>
    <x v="0"/>
    <s v="Brazil"/>
    <x v="1"/>
    <x v="10"/>
    <n v="8"/>
    <n v="1472.59"/>
    <n v="11780.72"/>
    <s v="Medium"/>
    <x v="0"/>
    <s v="shipped"/>
  </r>
  <r>
    <n v="202400482"/>
    <x v="170"/>
    <n v="2024"/>
    <x v="2"/>
    <n v="2"/>
    <x v="46"/>
    <s v="Marie Martin"/>
    <x v="3"/>
    <s v="Canada"/>
    <x v="2"/>
    <x v="8"/>
    <n v="10"/>
    <n v="48.54"/>
    <n v="485.4"/>
    <s v="Bulk"/>
    <x v="1"/>
    <s v="completed"/>
  </r>
  <r>
    <n v="202400630"/>
    <x v="171"/>
    <n v="2024"/>
    <x v="2"/>
    <n v="3"/>
    <x v="53"/>
    <s v="Nora Muller"/>
    <x v="3"/>
    <s v="USA"/>
    <x v="2"/>
    <x v="3"/>
    <n v="12"/>
    <n v="1881.08"/>
    <n v="22572.959999999999"/>
    <s v="Bulk"/>
    <x v="2"/>
    <s v="shipped"/>
  </r>
  <r>
    <n v="202400585"/>
    <x v="172"/>
    <n v="2024"/>
    <x v="2"/>
    <n v="3"/>
    <x v="57"/>
    <s v="Emma Johnson"/>
    <x v="1"/>
    <s v="Netherlands"/>
    <x v="0"/>
    <x v="2"/>
    <n v="3"/>
    <n v="219.65"/>
    <n v="658.95"/>
    <s v="Medium"/>
    <x v="3"/>
    <s v="completed"/>
  </r>
  <r>
    <n v="202400353"/>
    <x v="162"/>
    <n v="2024"/>
    <x v="1"/>
    <n v="5"/>
    <x v="49"/>
    <s v="Marie Smith"/>
    <x v="1"/>
    <s v="Netherlands"/>
    <x v="0"/>
    <x v="5"/>
    <n v="11"/>
    <n v="142.86000000000001"/>
    <n v="1571.46"/>
    <s v="Bulk"/>
    <x v="2"/>
    <s v="refunded"/>
  </r>
  <r>
    <n v="202400603"/>
    <x v="173"/>
    <n v="2024"/>
    <x v="3"/>
    <n v="8"/>
    <x v="9"/>
    <s v="Maria Martin"/>
    <x v="1"/>
    <s v="Germany"/>
    <x v="0"/>
    <x v="10"/>
    <n v="6"/>
    <n v="516.74"/>
    <n v="3100.44"/>
    <s v="Medium"/>
    <x v="2"/>
    <s v="completed"/>
  </r>
  <r>
    <n v="202400615"/>
    <x v="84"/>
    <n v="2024"/>
    <x v="0"/>
    <n v="11"/>
    <x v="38"/>
    <s v="Nora Rodriguez"/>
    <x v="3"/>
    <s v="Germany"/>
    <x v="0"/>
    <x v="3"/>
    <n v="5"/>
    <n v="1391.8"/>
    <n v="6959"/>
    <s v="Medium"/>
    <x v="1"/>
    <s v="completed"/>
  </r>
  <r>
    <n v="202400359"/>
    <x v="174"/>
    <n v="2024"/>
    <x v="0"/>
    <n v="10"/>
    <x v="29"/>
    <s v="Nora Tanaka"/>
    <x v="3"/>
    <s v="Canada"/>
    <x v="2"/>
    <x v="0"/>
    <n v="8"/>
    <n v="320.62"/>
    <n v="2564.96"/>
    <s v="Medium"/>
    <x v="1"/>
    <s v="completed"/>
  </r>
  <r>
    <n v="202400530"/>
    <x v="175"/>
    <n v="2024"/>
    <x v="1"/>
    <n v="5"/>
    <x v="51"/>
    <s v="David Rodriguez"/>
    <x v="1"/>
    <s v="Netherlands"/>
    <x v="0"/>
    <x v="0"/>
    <n v="7"/>
    <n v="1157.6500000000001"/>
    <n v="8103.5500000000011"/>
    <s v="Medium"/>
    <x v="2"/>
    <s v="shipped"/>
  </r>
  <r>
    <n v="202400011"/>
    <x v="103"/>
    <n v="2024"/>
    <x v="3"/>
    <n v="7"/>
    <x v="66"/>
    <s v="Sarah Leclerc"/>
    <x v="3"/>
    <s v="Germany"/>
    <x v="0"/>
    <x v="13"/>
    <n v="7"/>
    <n v="1157.8699999999999"/>
    <n v="8105.0899999999992"/>
    <s v="Medium"/>
    <x v="2"/>
    <s v="pending"/>
  </r>
  <r>
    <n v="202400597"/>
    <x v="176"/>
    <n v="2024"/>
    <x v="3"/>
    <n v="7"/>
    <x v="17"/>
    <s v="Maria Johnson"/>
    <x v="0"/>
    <s v="Brazil"/>
    <x v="1"/>
    <x v="7"/>
    <n v="12"/>
    <n v="472.38"/>
    <n v="5668.5599999999995"/>
    <s v="Bulk"/>
    <x v="3"/>
    <s v="completed"/>
  </r>
  <r>
    <n v="202400414"/>
    <x v="124"/>
    <n v="2024"/>
    <x v="0"/>
    <n v="12"/>
    <x v="65"/>
    <s v="Lucas Muller"/>
    <x v="1"/>
    <s v="Germany"/>
    <x v="0"/>
    <x v="12"/>
    <n v="13"/>
    <n v="1315.07"/>
    <n v="17095.91"/>
    <s v="Bulk"/>
    <x v="2"/>
    <s v="completed"/>
  </r>
  <r>
    <n v="202400436"/>
    <x v="54"/>
    <n v="2024"/>
    <x v="3"/>
    <n v="9"/>
    <x v="63"/>
    <s v="Lucas Chen"/>
    <x v="1"/>
    <s v="Italy"/>
    <x v="0"/>
    <x v="14"/>
    <n v="1"/>
    <n v="952.54"/>
    <n v="952.54"/>
    <s v="Single"/>
    <x v="0"/>
    <s v="completed"/>
  </r>
  <r>
    <n v="202400060"/>
    <x v="177"/>
    <n v="2024"/>
    <x v="3"/>
    <n v="7"/>
    <x v="69"/>
    <s v="Pierre Rossi"/>
    <x v="3"/>
    <s v="Germany"/>
    <x v="0"/>
    <x v="3"/>
    <n v="11"/>
    <n v="1270.94"/>
    <n v="13980.34"/>
    <s v="Bulk"/>
    <x v="3"/>
    <s v="shipped"/>
  </r>
  <r>
    <n v="202400311"/>
    <x v="178"/>
    <n v="2024"/>
    <x v="0"/>
    <n v="10"/>
    <x v="25"/>
    <s v="Sophie Martin"/>
    <x v="3"/>
    <s v="Canada"/>
    <x v="2"/>
    <x v="12"/>
    <n v="13"/>
    <n v="1592.06"/>
    <n v="20696.78"/>
    <s v="Bulk"/>
    <x v="1"/>
    <s v="completed"/>
  </r>
  <r>
    <n v="202400064"/>
    <x v="107"/>
    <n v="2024"/>
    <x v="2"/>
    <n v="2"/>
    <x v="23"/>
    <s v="David Martin"/>
    <x v="2"/>
    <s v="Canada"/>
    <x v="2"/>
    <x v="9"/>
    <n v="8"/>
    <n v="1145.82"/>
    <n v="9166.56"/>
    <s v="Medium"/>
    <x v="3"/>
    <s v="pending"/>
  </r>
  <r>
    <n v="202400299"/>
    <x v="179"/>
    <n v="2024"/>
    <x v="2"/>
    <n v="2"/>
    <x v="27"/>
    <s v="Paul Rodriguez"/>
    <x v="2"/>
    <s v="Spain"/>
    <x v="0"/>
    <x v="12"/>
    <n v="2"/>
    <n v="1429.89"/>
    <n v="2859.78"/>
    <s v="Single"/>
    <x v="3"/>
    <s v="pending"/>
  </r>
  <r>
    <n v="202400351"/>
    <x v="180"/>
    <n v="2024"/>
    <x v="2"/>
    <n v="3"/>
    <x v="74"/>
    <s v="Lisa Nilsson"/>
    <x v="3"/>
    <s v="France"/>
    <x v="0"/>
    <x v="14"/>
    <n v="13"/>
    <n v="1207.97"/>
    <n v="15703.61"/>
    <s v="Bulk"/>
    <x v="2"/>
    <s v="shipped"/>
  </r>
  <r>
    <n v="202400717"/>
    <x v="16"/>
    <n v="2024"/>
    <x v="3"/>
    <n v="7"/>
    <x v="52"/>
    <s v="Emma Garcia"/>
    <x v="2"/>
    <s v="Mexico"/>
    <x v="1"/>
    <x v="2"/>
    <n v="13"/>
    <n v="477.82"/>
    <n v="6211.66"/>
    <s v="Bulk"/>
    <x v="2"/>
    <s v="pending"/>
  </r>
  <r>
    <n v="202400905"/>
    <x v="181"/>
    <n v="2024"/>
    <x v="3"/>
    <n v="7"/>
    <x v="20"/>
    <s v="Lucas Rossi"/>
    <x v="0"/>
    <s v="Australia"/>
    <x v="3"/>
    <x v="11"/>
    <n v="6"/>
    <n v="1299.26"/>
    <n v="7795.5599999999995"/>
    <s v="Medium"/>
    <x v="0"/>
    <s v="completed"/>
  </r>
  <r>
    <n v="202400674"/>
    <x v="182"/>
    <n v="2024"/>
    <x v="0"/>
    <n v="12"/>
    <x v="60"/>
    <s v="Anna Rossi"/>
    <x v="0"/>
    <s v="Italy"/>
    <x v="0"/>
    <x v="8"/>
    <n v="8"/>
    <n v="1472.28"/>
    <n v="11778.24"/>
    <s v="Medium"/>
    <x v="2"/>
    <s v="cancelled"/>
  </r>
  <r>
    <n v="202400709"/>
    <x v="181"/>
    <n v="2024"/>
    <x v="3"/>
    <n v="7"/>
    <x v="67"/>
    <s v="Nora Chen"/>
    <x v="3"/>
    <s v="UK"/>
    <x v="0"/>
    <x v="7"/>
    <n v="13"/>
    <n v="368.2"/>
    <n v="4786.5999999999995"/>
    <s v="Bulk"/>
    <x v="2"/>
    <s v="completed"/>
  </r>
  <r>
    <n v="202400368"/>
    <x v="183"/>
    <n v="2024"/>
    <x v="3"/>
    <n v="9"/>
    <x v="6"/>
    <s v="Anna Johnson"/>
    <x v="0"/>
    <s v="Germany"/>
    <x v="0"/>
    <x v="5"/>
    <n v="12"/>
    <n v="1225.25"/>
    <n v="14703"/>
    <s v="Bulk"/>
    <x v="1"/>
    <s v="shipped"/>
  </r>
  <r>
    <n v="202400465"/>
    <x v="184"/>
    <n v="2024"/>
    <x v="3"/>
    <n v="9"/>
    <x v="23"/>
    <s v="David Martin"/>
    <x v="2"/>
    <s v="Canada"/>
    <x v="2"/>
    <x v="2"/>
    <n v="12"/>
    <n v="1264.6400000000001"/>
    <n v="15175.68"/>
    <s v="Bulk"/>
    <x v="3"/>
    <s v="completed"/>
  </r>
  <r>
    <n v="202400807"/>
    <x v="53"/>
    <n v="2024"/>
    <x v="2"/>
    <n v="2"/>
    <x v="30"/>
    <s v="Anna Dupont"/>
    <x v="3"/>
    <s v="Brazil"/>
    <x v="1"/>
    <x v="7"/>
    <n v="10"/>
    <n v="1628.32"/>
    <n v="16283.199999999999"/>
    <s v="Bulk"/>
    <x v="2"/>
    <s v="shipped"/>
  </r>
  <r>
    <n v="202400592"/>
    <x v="169"/>
    <n v="2024"/>
    <x v="2"/>
    <n v="1"/>
    <x v="45"/>
    <s v="Pierre Wilson"/>
    <x v="3"/>
    <s v="Australia"/>
    <x v="3"/>
    <x v="0"/>
    <n v="5"/>
    <n v="1320.56"/>
    <n v="6602.7999999999993"/>
    <s v="Medium"/>
    <x v="3"/>
    <s v="completed"/>
  </r>
  <r>
    <n v="202400362"/>
    <x v="100"/>
    <n v="2024"/>
    <x v="3"/>
    <n v="8"/>
    <x v="47"/>
    <s v="Pierre Brown"/>
    <x v="0"/>
    <s v="Japan"/>
    <x v="3"/>
    <x v="4"/>
    <n v="10"/>
    <n v="1906.09"/>
    <n v="19060.899999999998"/>
    <s v="Bulk"/>
    <x v="1"/>
    <s v="completed"/>
  </r>
  <r>
    <n v="202400267"/>
    <x v="143"/>
    <n v="2024"/>
    <x v="0"/>
    <n v="11"/>
    <x v="19"/>
    <s v="John Smith"/>
    <x v="3"/>
    <s v="USA"/>
    <x v="2"/>
    <x v="12"/>
    <n v="13"/>
    <n v="737.98"/>
    <n v="9593.74"/>
    <s v="Bulk"/>
    <x v="2"/>
    <s v="refunded"/>
  </r>
  <r>
    <n v="202400880"/>
    <x v="185"/>
    <n v="2024"/>
    <x v="3"/>
    <n v="8"/>
    <x v="70"/>
    <s v="David Smith"/>
    <x v="0"/>
    <s v="Canada"/>
    <x v="2"/>
    <x v="12"/>
    <n v="2"/>
    <n v="31.79"/>
    <n v="63.58"/>
    <s v="Single"/>
    <x v="2"/>
    <s v="shipped"/>
  </r>
  <r>
    <n v="202401135"/>
    <x v="116"/>
    <n v="2024"/>
    <x v="1"/>
    <n v="5"/>
    <x v="62"/>
    <s v="Paul Dupont"/>
    <x v="2"/>
    <s v="Netherlands"/>
    <x v="0"/>
    <x v="8"/>
    <n v="4"/>
    <n v="21.81"/>
    <n v="87.24"/>
    <s v="Medium"/>
    <x v="3"/>
    <s v="shipped"/>
  </r>
  <r>
    <n v="202401162"/>
    <x v="186"/>
    <n v="2024"/>
    <x v="2"/>
    <n v="3"/>
    <x v="71"/>
    <s v="Carlos Dupont"/>
    <x v="0"/>
    <s v="Netherlands"/>
    <x v="0"/>
    <x v="1"/>
    <n v="9"/>
    <n v="1863.21"/>
    <n v="16768.89"/>
    <s v="Medium"/>
    <x v="2"/>
    <s v="completed"/>
  </r>
  <r>
    <n v="202401190"/>
    <x v="103"/>
    <n v="2024"/>
    <x v="3"/>
    <n v="7"/>
    <x v="62"/>
    <s v="Paul Dupont"/>
    <x v="2"/>
    <s v="Netherlands"/>
    <x v="0"/>
    <x v="11"/>
    <n v="1"/>
    <n v="1830.29"/>
    <n v="1830.29"/>
    <s v="Single"/>
    <x v="2"/>
    <s v="shipped"/>
  </r>
  <r>
    <n v="202400992"/>
    <x v="33"/>
    <n v="2024"/>
    <x v="3"/>
    <n v="8"/>
    <x v="62"/>
    <s v="Paul Dupont"/>
    <x v="2"/>
    <s v="Netherlands"/>
    <x v="0"/>
    <x v="13"/>
    <n v="14"/>
    <n v="157.38"/>
    <n v="2203.3199999999997"/>
    <s v="Bulk"/>
    <x v="0"/>
    <s v="completed"/>
  </r>
  <r>
    <n v="202400576"/>
    <x v="11"/>
    <n v="2024"/>
    <x v="2"/>
    <n v="2"/>
    <x v="75"/>
    <s v="Maria Muller"/>
    <x v="2"/>
    <s v="Australia"/>
    <x v="3"/>
    <x v="13"/>
    <n v="14"/>
    <n v="1848.67"/>
    <n v="25881.38"/>
    <s v="Bulk"/>
    <x v="2"/>
    <s v="completed"/>
  </r>
  <r>
    <n v="202400755"/>
    <x v="1"/>
    <n v="2024"/>
    <x v="0"/>
    <n v="10"/>
    <x v="59"/>
    <s v="Anna Nilsson"/>
    <x v="1"/>
    <s v="Spain"/>
    <x v="0"/>
    <x v="9"/>
    <n v="14"/>
    <n v="1006.24"/>
    <n v="14087.36"/>
    <s v="Bulk"/>
    <x v="3"/>
    <s v="completed"/>
  </r>
  <r>
    <n v="202401128"/>
    <x v="2"/>
    <n v="2024"/>
    <x v="1"/>
    <n v="5"/>
    <x v="39"/>
    <s v="John Chen"/>
    <x v="2"/>
    <s v="Germany"/>
    <x v="0"/>
    <x v="1"/>
    <n v="9"/>
    <n v="409.3"/>
    <n v="3683.7000000000003"/>
    <s v="Medium"/>
    <x v="2"/>
    <s v="completed"/>
  </r>
  <r>
    <n v="202400988"/>
    <x v="83"/>
    <n v="2024"/>
    <x v="2"/>
    <n v="2"/>
    <x v="48"/>
    <s v="Paul Leclerc"/>
    <x v="3"/>
    <s v="Australia"/>
    <x v="3"/>
    <x v="8"/>
    <n v="5"/>
    <n v="465.4"/>
    <n v="2327"/>
    <s v="Medium"/>
    <x v="2"/>
    <s v="completed"/>
  </r>
  <r>
    <n v="202400271"/>
    <x v="138"/>
    <n v="2024"/>
    <x v="1"/>
    <n v="6"/>
    <x v="6"/>
    <s v="Anna Johnson"/>
    <x v="0"/>
    <s v="Germany"/>
    <x v="0"/>
    <x v="13"/>
    <n v="12"/>
    <n v="901.92"/>
    <n v="10823.039999999999"/>
    <s v="Bulk"/>
    <x v="0"/>
    <s v="cancelled"/>
  </r>
  <r>
    <n v="202401068"/>
    <x v="187"/>
    <n v="2024"/>
    <x v="0"/>
    <n v="12"/>
    <x v="48"/>
    <s v="Paul Leclerc"/>
    <x v="3"/>
    <s v="Australia"/>
    <x v="3"/>
    <x v="14"/>
    <n v="2"/>
    <n v="564.13"/>
    <n v="1128.26"/>
    <s v="Single"/>
    <x v="2"/>
    <s v="shipped"/>
  </r>
  <r>
    <n v="202400084"/>
    <x v="188"/>
    <n v="2024"/>
    <x v="1"/>
    <n v="5"/>
    <x v="19"/>
    <s v="John Smith"/>
    <x v="3"/>
    <s v="USA"/>
    <x v="2"/>
    <x v="5"/>
    <n v="10"/>
    <n v="520.84"/>
    <n v="5208.4000000000005"/>
    <s v="Bulk"/>
    <x v="3"/>
    <s v="shipped"/>
  </r>
  <r>
    <n v="202400130"/>
    <x v="176"/>
    <n v="2024"/>
    <x v="3"/>
    <n v="7"/>
    <x v="5"/>
    <s v="James Nilsson"/>
    <x v="1"/>
    <s v="Italy"/>
    <x v="0"/>
    <x v="1"/>
    <n v="4"/>
    <n v="1267.82"/>
    <n v="5071.28"/>
    <s v="Medium"/>
    <x v="1"/>
    <s v="completed"/>
  </r>
  <r>
    <n v="202400637"/>
    <x v="48"/>
    <n v="2024"/>
    <x v="3"/>
    <n v="8"/>
    <x v="45"/>
    <s v="Pierre Wilson"/>
    <x v="3"/>
    <s v="Australia"/>
    <x v="3"/>
    <x v="3"/>
    <n v="12"/>
    <n v="776.3"/>
    <n v="9315.5999999999985"/>
    <s v="Bulk"/>
    <x v="1"/>
    <s v="shipped"/>
  </r>
  <r>
    <n v="202400908"/>
    <x v="189"/>
    <n v="2024"/>
    <x v="3"/>
    <n v="9"/>
    <x v="73"/>
    <s v="Emma Dupont"/>
    <x v="1"/>
    <s v="USA"/>
    <x v="2"/>
    <x v="6"/>
    <n v="8"/>
    <n v="789.6"/>
    <n v="6316.8"/>
    <s v="Medium"/>
    <x v="0"/>
    <s v="completed"/>
  </r>
  <r>
    <n v="202400917"/>
    <x v="190"/>
    <n v="2024"/>
    <x v="1"/>
    <n v="6"/>
    <x v="75"/>
    <s v="Maria Muller"/>
    <x v="2"/>
    <s v="Australia"/>
    <x v="3"/>
    <x v="9"/>
    <n v="11"/>
    <n v="589.35"/>
    <n v="6482.85"/>
    <s v="Bulk"/>
    <x v="0"/>
    <s v="shipped"/>
  </r>
  <r>
    <n v="202400448"/>
    <x v="111"/>
    <n v="2024"/>
    <x v="1"/>
    <n v="4"/>
    <x v="64"/>
    <s v="Maria Wilson"/>
    <x v="2"/>
    <s v="Germany"/>
    <x v="0"/>
    <x v="5"/>
    <n v="7"/>
    <n v="794.15"/>
    <n v="5559.05"/>
    <s v="Medium"/>
    <x v="0"/>
    <s v="completed"/>
  </r>
  <r>
    <n v="202400261"/>
    <x v="44"/>
    <n v="2024"/>
    <x v="1"/>
    <n v="5"/>
    <x v="20"/>
    <s v="Lucas Rossi"/>
    <x v="0"/>
    <s v="Australia"/>
    <x v="3"/>
    <x v="2"/>
    <n v="7"/>
    <n v="1736.97"/>
    <n v="12158.79"/>
    <s v="Medium"/>
    <x v="0"/>
    <s v="completed"/>
  </r>
  <r>
    <n v="202400756"/>
    <x v="45"/>
    <n v="2024"/>
    <x v="1"/>
    <n v="4"/>
    <x v="14"/>
    <s v="Sophie Nilsson"/>
    <x v="2"/>
    <s v="Japan"/>
    <x v="3"/>
    <x v="13"/>
    <n v="12"/>
    <n v="1526.61"/>
    <n v="18319.32"/>
    <s v="Bulk"/>
    <x v="3"/>
    <s v="completed"/>
  </r>
  <r>
    <n v="202401079"/>
    <x v="60"/>
    <n v="2024"/>
    <x v="1"/>
    <n v="4"/>
    <x v="76"/>
    <s v="Sophie Brown"/>
    <x v="1"/>
    <s v="USA"/>
    <x v="2"/>
    <x v="1"/>
    <n v="6"/>
    <n v="1028.93"/>
    <n v="6173.58"/>
    <s v="Medium"/>
    <x v="2"/>
    <s v="shipped"/>
  </r>
  <r>
    <n v="202400895"/>
    <x v="191"/>
    <n v="2024"/>
    <x v="1"/>
    <n v="4"/>
    <x v="56"/>
    <s v="Lisa Chen"/>
    <x v="2"/>
    <s v="Spain"/>
    <x v="0"/>
    <x v="4"/>
    <n v="9"/>
    <n v="345.18"/>
    <n v="3106.62"/>
    <s v="Medium"/>
    <x v="3"/>
    <s v="completed"/>
  </r>
  <r>
    <n v="202400498"/>
    <x v="30"/>
    <n v="2024"/>
    <x v="3"/>
    <n v="8"/>
    <x v="72"/>
    <s v="Sophie Brown"/>
    <x v="1"/>
    <s v="Australia"/>
    <x v="3"/>
    <x v="9"/>
    <n v="6"/>
    <n v="1339.66"/>
    <n v="8037.9600000000009"/>
    <s v="Medium"/>
    <x v="2"/>
    <s v="completed"/>
  </r>
  <r>
    <n v="202400139"/>
    <x v="192"/>
    <n v="2024"/>
    <x v="2"/>
    <n v="3"/>
    <x v="21"/>
    <s v="Anna Johnson"/>
    <x v="1"/>
    <s v="Australia"/>
    <x v="3"/>
    <x v="8"/>
    <n v="4"/>
    <n v="399.37"/>
    <n v="1597.48"/>
    <s v="Medium"/>
    <x v="1"/>
    <s v="completed"/>
  </r>
  <r>
    <n v="202400942"/>
    <x v="123"/>
    <n v="2024"/>
    <x v="0"/>
    <n v="12"/>
    <x v="41"/>
    <s v="Sophie Garcia"/>
    <x v="1"/>
    <s v="USA"/>
    <x v="2"/>
    <x v="10"/>
    <n v="10"/>
    <n v="256.85000000000002"/>
    <n v="2568.5"/>
    <s v="Bulk"/>
    <x v="2"/>
    <s v="cancelled"/>
  </r>
  <r>
    <n v="202400142"/>
    <x v="193"/>
    <n v="2024"/>
    <x v="3"/>
    <n v="9"/>
    <x v="52"/>
    <s v="Emma Garcia"/>
    <x v="2"/>
    <s v="Mexico"/>
    <x v="1"/>
    <x v="8"/>
    <n v="12"/>
    <n v="393.36"/>
    <n v="4720.32"/>
    <s v="Bulk"/>
    <x v="2"/>
    <s v="completed"/>
  </r>
  <r>
    <n v="202400559"/>
    <x v="48"/>
    <n v="2024"/>
    <x v="3"/>
    <n v="8"/>
    <x v="50"/>
    <s v="Marie Chen"/>
    <x v="3"/>
    <s v="France"/>
    <x v="0"/>
    <x v="5"/>
    <n v="5"/>
    <n v="1622.4"/>
    <n v="8112"/>
    <s v="Medium"/>
    <x v="0"/>
    <s v="completed"/>
  </r>
  <r>
    <n v="202400823"/>
    <x v="194"/>
    <n v="2024"/>
    <x v="1"/>
    <n v="5"/>
    <x v="57"/>
    <s v="Emma Johnson"/>
    <x v="1"/>
    <s v="Netherlands"/>
    <x v="0"/>
    <x v="3"/>
    <n v="13"/>
    <n v="623.22"/>
    <n v="8101.8600000000006"/>
    <s v="Bulk"/>
    <x v="3"/>
    <s v="completed"/>
  </r>
  <r>
    <n v="202400421"/>
    <x v="77"/>
    <n v="2024"/>
    <x v="2"/>
    <n v="2"/>
    <x v="4"/>
    <s v="Maria Smith"/>
    <x v="1"/>
    <s v="Italy"/>
    <x v="0"/>
    <x v="7"/>
    <n v="11"/>
    <n v="1387.33"/>
    <n v="15260.63"/>
    <s v="Bulk"/>
    <x v="2"/>
    <s v="completed"/>
  </r>
  <r>
    <n v="202400140"/>
    <x v="195"/>
    <n v="2024"/>
    <x v="2"/>
    <n v="1"/>
    <x v="69"/>
    <s v="Pierre Rossi"/>
    <x v="3"/>
    <s v="Germany"/>
    <x v="0"/>
    <x v="10"/>
    <n v="3"/>
    <n v="332.43"/>
    <n v="997.29"/>
    <s v="Medium"/>
    <x v="2"/>
    <s v="completed"/>
  </r>
  <r>
    <n v="202400939"/>
    <x v="13"/>
    <n v="2024"/>
    <x v="1"/>
    <n v="6"/>
    <x v="0"/>
    <s v="Sophie Brown"/>
    <x v="0"/>
    <s v="France"/>
    <x v="0"/>
    <x v="0"/>
    <n v="8"/>
    <n v="1177.5899999999999"/>
    <n v="9420.7199999999993"/>
    <s v="Medium"/>
    <x v="3"/>
    <s v="pending "/>
  </r>
  <r>
    <n v="202401113"/>
    <x v="196"/>
    <n v="2024"/>
    <x v="2"/>
    <n v="1"/>
    <x v="67"/>
    <s v="Nora Chen"/>
    <x v="3"/>
    <s v="UK"/>
    <x v="0"/>
    <x v="3"/>
    <n v="4"/>
    <n v="1007.81"/>
    <n v="4031.24"/>
    <s v="Medium"/>
    <x v="2"/>
    <s v="cancelled"/>
  </r>
  <r>
    <n v="202400225"/>
    <x v="75"/>
    <n v="2024"/>
    <x v="2"/>
    <n v="1"/>
    <x v="36"/>
    <s v="Lisa Chen"/>
    <x v="0"/>
    <s v="France"/>
    <x v="0"/>
    <x v="12"/>
    <n v="3"/>
    <n v="1587.61"/>
    <n v="4762.83"/>
    <s v="Medium"/>
    <x v="1"/>
    <s v="completed"/>
  </r>
  <r>
    <n v="202400290"/>
    <x v="6"/>
    <n v="2024"/>
    <x v="3"/>
    <n v="9"/>
    <x v="35"/>
    <s v="John Rodriguez"/>
    <x v="2"/>
    <s v="USA"/>
    <x v="2"/>
    <x v="2"/>
    <n v="14"/>
    <n v="1924.57"/>
    <n v="26943.98"/>
    <s v="Bulk"/>
    <x v="3"/>
    <s v="shipped"/>
  </r>
  <r>
    <n v="202400425"/>
    <x v="156"/>
    <n v="2024"/>
    <x v="3"/>
    <n v="9"/>
    <x v="26"/>
    <s v="Emma Leclerc"/>
    <x v="1"/>
    <s v="Canada"/>
    <x v="2"/>
    <x v="8"/>
    <n v="5"/>
    <n v="513.89"/>
    <n v="2569.4499999999998"/>
    <s v="Medium"/>
    <x v="0"/>
    <s v="pending"/>
  </r>
  <r>
    <n v="202400645"/>
    <x v="197"/>
    <n v="2024"/>
    <x v="3"/>
    <n v="9"/>
    <x v="47"/>
    <s v="Pierre Brown"/>
    <x v="0"/>
    <s v="Japan"/>
    <x v="3"/>
    <x v="6"/>
    <n v="9"/>
    <n v="742.45"/>
    <n v="6682.05"/>
    <s v="Medium"/>
    <x v="1"/>
    <s v="pending"/>
  </r>
  <r>
    <n v="202400377"/>
    <x v="195"/>
    <n v="2024"/>
    <x v="2"/>
    <n v="1"/>
    <x v="22"/>
    <s v="Nora Muller"/>
    <x v="0"/>
    <s v="Japan"/>
    <x v="3"/>
    <x v="5"/>
    <n v="3"/>
    <n v="567.21"/>
    <n v="1701.63"/>
    <s v="Medium"/>
    <x v="0"/>
    <s v="completed"/>
  </r>
  <r>
    <n v="202400584"/>
    <x v="198"/>
    <n v="2024"/>
    <x v="1"/>
    <n v="6"/>
    <x v="19"/>
    <s v="John Smith"/>
    <x v="3"/>
    <s v="USA"/>
    <x v="2"/>
    <x v="9"/>
    <n v="3"/>
    <n v="167.24"/>
    <n v="501.72"/>
    <s v="Medium"/>
    <x v="2"/>
    <s v="pending"/>
  </r>
  <r>
    <n v="202401073"/>
    <x v="199"/>
    <n v="2024"/>
    <x v="1"/>
    <n v="6"/>
    <x v="41"/>
    <s v="Sophie Garcia"/>
    <x v="1"/>
    <s v="USA"/>
    <x v="2"/>
    <x v="6"/>
    <n v="9"/>
    <n v="1132.5"/>
    <n v="10192.5"/>
    <s v="Medium"/>
    <x v="2"/>
    <s v="completed"/>
  </r>
  <r>
    <n v="202401067"/>
    <x v="64"/>
    <n v="2024"/>
    <x v="1"/>
    <n v="6"/>
    <x v="11"/>
    <s v="Paul Martin"/>
    <x v="0"/>
    <s v="Spain"/>
    <x v="0"/>
    <x v="2"/>
    <n v="9"/>
    <n v="1799.78"/>
    <n v="16198.02"/>
    <s v="Medium"/>
    <x v="3"/>
    <s v="refunded"/>
  </r>
  <r>
    <n v="202400768"/>
    <x v="87"/>
    <n v="2024"/>
    <x v="3"/>
    <n v="7"/>
    <x v="15"/>
    <s v="Anna Muller"/>
    <x v="1"/>
    <s v="Germany"/>
    <x v="0"/>
    <x v="4"/>
    <n v="2"/>
    <n v="1218.53"/>
    <n v="2437.06"/>
    <s v="Single"/>
    <x v="2"/>
    <s v="completed"/>
  </r>
  <r>
    <n v="202400718"/>
    <x v="180"/>
    <n v="2024"/>
    <x v="2"/>
    <n v="3"/>
    <x v="9"/>
    <s v="Maria Martin"/>
    <x v="1"/>
    <s v="Germany"/>
    <x v="0"/>
    <x v="13"/>
    <n v="9"/>
    <n v="217.38"/>
    <n v="1956.42"/>
    <s v="Medium"/>
    <x v="2"/>
    <s v="shipped"/>
  </r>
  <r>
    <n v="202400591"/>
    <x v="103"/>
    <n v="2024"/>
    <x v="3"/>
    <n v="7"/>
    <x v="19"/>
    <s v="John Smith"/>
    <x v="3"/>
    <s v="USA"/>
    <x v="2"/>
    <x v="2"/>
    <n v="10"/>
    <n v="720.52"/>
    <n v="7205.2"/>
    <s v="Bulk"/>
    <x v="0"/>
    <s v="completed"/>
  </r>
  <r>
    <n v="202400468"/>
    <x v="5"/>
    <n v="2024"/>
    <x v="0"/>
    <n v="10"/>
    <x v="4"/>
    <s v="Maria Smith"/>
    <x v="1"/>
    <s v="Italy"/>
    <x v="0"/>
    <x v="3"/>
    <n v="1"/>
    <n v="22.26"/>
    <n v="22.26"/>
    <s v="Single"/>
    <x v="2"/>
    <s v="completed"/>
  </r>
  <r>
    <n v="202400524"/>
    <x v="175"/>
    <n v="2024"/>
    <x v="1"/>
    <n v="5"/>
    <x v="21"/>
    <s v="Anna Johnson"/>
    <x v="1"/>
    <s v="Australia"/>
    <x v="3"/>
    <x v="6"/>
    <n v="12"/>
    <n v="1233.01"/>
    <n v="14796.119999999999"/>
    <s v="Bulk"/>
    <x v="1"/>
    <s v="shipped"/>
  </r>
  <r>
    <n v="202400606"/>
    <x v="200"/>
    <n v="2024"/>
    <x v="2"/>
    <n v="2"/>
    <x v="56"/>
    <s v="Lisa Chen"/>
    <x v="2"/>
    <s v="Spain"/>
    <x v="0"/>
    <x v="14"/>
    <n v="11"/>
    <n v="1849.66"/>
    <n v="20346.260000000002"/>
    <s v="Bulk"/>
    <x v="2"/>
    <s v="completed"/>
  </r>
  <r>
    <n v="202400997"/>
    <x v="201"/>
    <n v="2024"/>
    <x v="2"/>
    <n v="1"/>
    <x v="68"/>
    <s v="Nora Rodriguez"/>
    <x v="0"/>
    <s v="Mexico"/>
    <x v="1"/>
    <x v="11"/>
    <n v="6"/>
    <n v="1709.65"/>
    <n v="10257.900000000001"/>
    <s v="Medium"/>
    <x v="0"/>
    <s v="completed"/>
  </r>
  <r>
    <n v="202400651"/>
    <x v="202"/>
    <n v="2024"/>
    <x v="3"/>
    <n v="7"/>
    <x v="16"/>
    <s v="Sophie Tanaka"/>
    <x v="3"/>
    <s v="Australia"/>
    <x v="3"/>
    <x v="6"/>
    <n v="10"/>
    <n v="1261.6199999999999"/>
    <n v="12616.199999999999"/>
    <s v="Bulk"/>
    <x v="2"/>
    <s v="pending "/>
  </r>
  <r>
    <n v="202401189"/>
    <x v="203"/>
    <n v="2024"/>
    <x v="3"/>
    <n v="7"/>
    <x v="25"/>
    <s v="Sophie Martin"/>
    <x v="3"/>
    <s v="Canada"/>
    <x v="2"/>
    <x v="5"/>
    <n v="4"/>
    <n v="255.13"/>
    <n v="1020.52"/>
    <s v="Medium"/>
    <x v="1"/>
    <s v="shipped"/>
  </r>
  <r>
    <n v="202400487"/>
    <x v="133"/>
    <n v="2024"/>
    <x v="1"/>
    <n v="5"/>
    <x v="16"/>
    <s v="Sophie Tanaka"/>
    <x v="3"/>
    <s v="Australia"/>
    <x v="3"/>
    <x v="0"/>
    <n v="6"/>
    <n v="202.75"/>
    <n v="1216.5"/>
    <s v="Medium"/>
    <x v="2"/>
    <s v="refunded"/>
  </r>
  <r>
    <n v="202400040"/>
    <x v="204"/>
    <n v="2024"/>
    <x v="0"/>
    <n v="11"/>
    <x v="55"/>
    <s v="Sarah Johnson"/>
    <x v="2"/>
    <s v="Germany"/>
    <x v="0"/>
    <x v="0"/>
    <n v="14"/>
    <n v="247.9"/>
    <n v="3470.6"/>
    <s v="Bulk"/>
    <x v="1"/>
    <s v="refunded"/>
  </r>
  <r>
    <n v="202400031"/>
    <x v="62"/>
    <n v="2024"/>
    <x v="1"/>
    <n v="4"/>
    <x v="68"/>
    <s v="Nora Rodriguez"/>
    <x v="0"/>
    <s v="Mexico"/>
    <x v="1"/>
    <x v="5"/>
    <n v="12"/>
    <n v="907.3"/>
    <n v="10887.599999999999"/>
    <s v="Bulk"/>
    <x v="1"/>
    <s v="completed"/>
  </r>
  <r>
    <n v="202400243"/>
    <x v="194"/>
    <n v="2024"/>
    <x v="1"/>
    <n v="5"/>
    <x v="54"/>
    <s v="James Brown"/>
    <x v="0"/>
    <s v="France"/>
    <x v="0"/>
    <x v="3"/>
    <n v="2"/>
    <n v="1872.51"/>
    <n v="3745.02"/>
    <s v="Single"/>
    <x v="3"/>
    <s v="shipped"/>
  </r>
  <r>
    <n v="202400672"/>
    <x v="205"/>
    <n v="2024"/>
    <x v="3"/>
    <n v="8"/>
    <x v="28"/>
    <s v="Julia Nilsson"/>
    <x v="3"/>
    <s v="Brazil"/>
    <x v="1"/>
    <x v="14"/>
    <n v="10"/>
    <n v="1812.55"/>
    <n v="18125.5"/>
    <s v="Bulk"/>
    <x v="1"/>
    <s v="completed"/>
  </r>
  <r>
    <n v="202400137"/>
    <x v="122"/>
    <n v="2024"/>
    <x v="1"/>
    <n v="6"/>
    <x v="60"/>
    <s v="Anna Rossi"/>
    <x v="0"/>
    <s v="Italy"/>
    <x v="0"/>
    <x v="6"/>
    <n v="10"/>
    <n v="1610.85"/>
    <n v="16108.5"/>
    <s v="Bulk"/>
    <x v="0"/>
    <s v="pending "/>
  </r>
  <r>
    <n v="202401148"/>
    <x v="77"/>
    <n v="2024"/>
    <x v="2"/>
    <n v="2"/>
    <x v="40"/>
    <s v="John Rossi"/>
    <x v="0"/>
    <s v="Netherlands"/>
    <x v="0"/>
    <x v="9"/>
    <n v="11"/>
    <n v="1271.8599999999999"/>
    <n v="13990.46"/>
    <s v="Bulk"/>
    <x v="0"/>
    <s v="shipped"/>
  </r>
  <r>
    <n v="202400732"/>
    <x v="206"/>
    <n v="2024"/>
    <x v="1"/>
    <n v="4"/>
    <x v="15"/>
    <s v="Anna Muller"/>
    <x v="1"/>
    <s v="Germany"/>
    <x v="0"/>
    <x v="5"/>
    <n v="14"/>
    <n v="1614.78"/>
    <n v="22606.92"/>
    <s v="Bulk"/>
    <x v="2"/>
    <s v="pending"/>
  </r>
  <r>
    <n v="202400004"/>
    <x v="207"/>
    <n v="2024"/>
    <x v="0"/>
    <n v="12"/>
    <x v="71"/>
    <s v="Carlos Dupont"/>
    <x v="0"/>
    <s v="Netherlands"/>
    <x v="0"/>
    <x v="4"/>
    <n v="8"/>
    <n v="1482.54"/>
    <n v="11860.32"/>
    <s v="Medium"/>
    <x v="1"/>
    <s v="shipped"/>
  </r>
  <r>
    <n v="202400618"/>
    <x v="208"/>
    <n v="2024"/>
    <x v="2"/>
    <n v="3"/>
    <x v="34"/>
    <s v="Anna Garcia"/>
    <x v="0"/>
    <s v="Germany"/>
    <x v="0"/>
    <x v="7"/>
    <n v="1"/>
    <n v="227.31"/>
    <n v="227.31"/>
    <s v="Single"/>
    <x v="3"/>
    <s v="completed"/>
  </r>
  <r>
    <n v="202400810"/>
    <x v="3"/>
    <n v="2024"/>
    <x v="2"/>
    <n v="1"/>
    <x v="77"/>
    <s v="Maria Smith"/>
    <x v="2"/>
    <s v="Australia"/>
    <x v="3"/>
    <x v="6"/>
    <n v="13"/>
    <n v="620"/>
    <n v="8060"/>
    <s v="Bulk"/>
    <x v="3"/>
    <s v="cancelled"/>
  </r>
  <r>
    <n v="202401053"/>
    <x v="209"/>
    <n v="2024"/>
    <x v="0"/>
    <n v="11"/>
    <x v="52"/>
    <s v="Emma Garcia"/>
    <x v="2"/>
    <s v="Mexico"/>
    <x v="1"/>
    <x v="12"/>
    <n v="13"/>
    <n v="1173.21"/>
    <n v="15251.73"/>
    <s v="Bulk"/>
    <x v="1"/>
    <s v="completed"/>
  </r>
  <r>
    <n v="202400480"/>
    <x v="23"/>
    <n v="2024"/>
    <x v="3"/>
    <n v="9"/>
    <x v="70"/>
    <s v="David Smith"/>
    <x v="0"/>
    <s v="Canada"/>
    <x v="2"/>
    <x v="2"/>
    <n v="12"/>
    <n v="1160.69"/>
    <n v="13928.28"/>
    <s v="Bulk"/>
    <x v="2"/>
    <s v="completed"/>
  </r>
  <r>
    <n v="202400947"/>
    <x v="131"/>
    <n v="2024"/>
    <x v="3"/>
    <n v="7"/>
    <x v="29"/>
    <s v="Nora Tanaka"/>
    <x v="3"/>
    <s v="Canada"/>
    <x v="2"/>
    <x v="3"/>
    <n v="13"/>
    <n v="1611.52"/>
    <n v="20949.759999999998"/>
    <s v="Bulk"/>
    <x v="3"/>
    <s v="completed"/>
  </r>
  <r>
    <n v="202400695"/>
    <x v="18"/>
    <n v="2024"/>
    <x v="2"/>
    <n v="3"/>
    <x v="41"/>
    <s v="Sophie Garcia"/>
    <x v="1"/>
    <s v="USA"/>
    <x v="2"/>
    <x v="7"/>
    <n v="10"/>
    <n v="1641.73"/>
    <n v="16417.3"/>
    <s v="Bulk"/>
    <x v="1"/>
    <s v="shipped"/>
  </r>
  <r>
    <n v="202400813"/>
    <x v="210"/>
    <n v="2024"/>
    <x v="2"/>
    <n v="3"/>
    <x v="28"/>
    <s v="Julia Nilsson"/>
    <x v="3"/>
    <s v="Brazil"/>
    <x v="1"/>
    <x v="9"/>
    <n v="6"/>
    <n v="447.31"/>
    <n v="2683.86"/>
    <s v="Medium"/>
    <x v="2"/>
    <s v="completed"/>
  </r>
  <r>
    <n v="202400006"/>
    <x v="40"/>
    <n v="2024"/>
    <x v="0"/>
    <n v="10"/>
    <x v="67"/>
    <s v="Nora Chen"/>
    <x v="3"/>
    <s v="UK"/>
    <x v="0"/>
    <x v="13"/>
    <n v="7"/>
    <n v="733.63"/>
    <n v="5135.41"/>
    <s v="Medium"/>
    <x v="2"/>
    <s v="completed"/>
  </r>
  <r>
    <n v="202400101"/>
    <x v="211"/>
    <n v="2024"/>
    <x v="1"/>
    <n v="4"/>
    <x v="51"/>
    <s v="David Rodriguez"/>
    <x v="1"/>
    <s v="Netherlands"/>
    <x v="0"/>
    <x v="13"/>
    <n v="13"/>
    <n v="1533.81"/>
    <n v="19939.53"/>
    <s v="Bulk"/>
    <x v="1"/>
    <s v="cancelled"/>
  </r>
  <r>
    <n v="202400850"/>
    <x v="188"/>
    <n v="2024"/>
    <x v="1"/>
    <n v="5"/>
    <x v="22"/>
    <s v="Nora Muller"/>
    <x v="0"/>
    <s v="Japan"/>
    <x v="3"/>
    <x v="5"/>
    <n v="6"/>
    <n v="1752.16"/>
    <n v="10512.960000000001"/>
    <s v="Medium"/>
    <x v="1"/>
    <s v="pending"/>
  </r>
  <r>
    <n v="202400520"/>
    <x v="189"/>
    <n v="2024"/>
    <x v="3"/>
    <n v="9"/>
    <x v="44"/>
    <s v="Lucas Muller"/>
    <x v="1"/>
    <s v="Netherlands"/>
    <x v="0"/>
    <x v="6"/>
    <n v="2"/>
    <n v="614.09"/>
    <n v="1228.18"/>
    <s v="Single"/>
    <x v="1"/>
    <s v="completed"/>
  </r>
  <r>
    <n v="202401059"/>
    <x v="121"/>
    <n v="2024"/>
    <x v="1"/>
    <n v="6"/>
    <x v="68"/>
    <s v="Nora Rodriguez"/>
    <x v="0"/>
    <s v="Mexico"/>
    <x v="1"/>
    <x v="9"/>
    <n v="1"/>
    <n v="190.69"/>
    <n v="190.69"/>
    <s v="Single"/>
    <x v="2"/>
    <s v="completed"/>
  </r>
  <r>
    <n v="202400858"/>
    <x v="196"/>
    <n v="2024"/>
    <x v="2"/>
    <n v="1"/>
    <x v="15"/>
    <s v="Anna Muller"/>
    <x v="1"/>
    <s v="Germany"/>
    <x v="0"/>
    <x v="7"/>
    <n v="4"/>
    <n v="987.88"/>
    <n v="3951.52"/>
    <s v="Medium"/>
    <x v="2"/>
    <s v="completed"/>
  </r>
  <r>
    <n v="202400746"/>
    <x v="196"/>
    <n v="2024"/>
    <x v="2"/>
    <n v="1"/>
    <x v="23"/>
    <s v="David Martin"/>
    <x v="2"/>
    <s v="Canada"/>
    <x v="2"/>
    <x v="3"/>
    <n v="10"/>
    <n v="1316.73"/>
    <n v="13167.3"/>
    <s v="Bulk"/>
    <x v="2"/>
    <s v="shipped"/>
  </r>
  <r>
    <n v="202400622"/>
    <x v="43"/>
    <n v="2024"/>
    <x v="0"/>
    <n v="10"/>
    <x v="74"/>
    <s v="Lisa Nilsson"/>
    <x v="3"/>
    <s v="France"/>
    <x v="0"/>
    <x v="10"/>
    <n v="12"/>
    <n v="31.55"/>
    <n v="378.6"/>
    <s v="Bulk"/>
    <x v="1"/>
    <s v="completed"/>
  </r>
  <r>
    <n v="202400228"/>
    <x v="59"/>
    <n v="2024"/>
    <x v="1"/>
    <n v="4"/>
    <x v="60"/>
    <s v="Anna Rossi"/>
    <x v="0"/>
    <s v="Italy"/>
    <x v="0"/>
    <x v="11"/>
    <n v="13"/>
    <n v="1772.58"/>
    <n v="23043.54"/>
    <s v="Bulk"/>
    <x v="1"/>
    <s v="shipped"/>
  </r>
  <r>
    <n v="202400846"/>
    <x v="187"/>
    <n v="2024"/>
    <x v="0"/>
    <n v="12"/>
    <x v="69"/>
    <s v="Pierre Rossi"/>
    <x v="3"/>
    <s v="Germany"/>
    <x v="0"/>
    <x v="1"/>
    <n v="9"/>
    <n v="372.52"/>
    <n v="3352.68"/>
    <s v="Medium"/>
    <x v="0"/>
    <s v="completed"/>
  </r>
  <r>
    <n v="202401033"/>
    <x v="9"/>
    <n v="2024"/>
    <x v="2"/>
    <n v="1"/>
    <x v="58"/>
    <s v="Carlos Nilsson"/>
    <x v="0"/>
    <s v="Germany"/>
    <x v="0"/>
    <x v="2"/>
    <n v="4"/>
    <n v="277.14"/>
    <n v="1108.56"/>
    <s v="Medium"/>
    <x v="0"/>
    <s v="refunded"/>
  </r>
  <r>
    <n v="202400655"/>
    <x v="110"/>
    <n v="2024"/>
    <x v="3"/>
    <n v="9"/>
    <x v="74"/>
    <s v="Lisa Nilsson"/>
    <x v="3"/>
    <s v="France"/>
    <x v="0"/>
    <x v="0"/>
    <n v="9"/>
    <n v="695.64"/>
    <n v="6260.76"/>
    <s v="Medium"/>
    <x v="2"/>
    <s v="completed"/>
  </r>
  <r>
    <n v="202400399"/>
    <x v="57"/>
    <n v="2024"/>
    <x v="3"/>
    <n v="8"/>
    <x v="28"/>
    <s v="Julia Nilsson"/>
    <x v="3"/>
    <s v="Brazil"/>
    <x v="1"/>
    <x v="10"/>
    <n v="3"/>
    <n v="1520.85"/>
    <n v="4562.5499999999993"/>
    <s v="Medium"/>
    <x v="2"/>
    <s v="pending "/>
  </r>
  <r>
    <n v="202400067"/>
    <x v="176"/>
    <n v="2024"/>
    <x v="3"/>
    <n v="7"/>
    <x v="54"/>
    <s v="James Brown"/>
    <x v="0"/>
    <s v="France"/>
    <x v="0"/>
    <x v="2"/>
    <n v="14"/>
    <n v="165.62"/>
    <n v="2318.6800000000003"/>
    <s v="Bulk"/>
    <x v="2"/>
    <s v="pending "/>
  </r>
  <r>
    <n v="202400068"/>
    <x v="212"/>
    <n v="2024"/>
    <x v="0"/>
    <n v="12"/>
    <x v="32"/>
    <s v="Marie Nilsson"/>
    <x v="1"/>
    <s v="Brazil"/>
    <x v="1"/>
    <x v="8"/>
    <n v="12"/>
    <n v="1010.72"/>
    <n v="12128.64"/>
    <s v="Bulk"/>
    <x v="2"/>
    <s v="completed"/>
  </r>
  <r>
    <n v="202400378"/>
    <x v="213"/>
    <n v="2024"/>
    <x v="2"/>
    <n v="3"/>
    <x v="45"/>
    <s v="Pierre Wilson"/>
    <x v="3"/>
    <s v="Australia"/>
    <x v="3"/>
    <x v="14"/>
    <n v="5"/>
    <n v="886.24"/>
    <n v="4431.2"/>
    <s v="Medium"/>
    <x v="2"/>
    <s v="completed"/>
  </r>
  <r>
    <n v="202400212"/>
    <x v="163"/>
    <n v="2024"/>
    <x v="1"/>
    <n v="6"/>
    <x v="43"/>
    <s v="James Garcia"/>
    <x v="2"/>
    <s v="Australia"/>
    <x v="3"/>
    <x v="8"/>
    <n v="8"/>
    <n v="552.69000000000005"/>
    <n v="4421.5200000000004"/>
    <s v="Medium"/>
    <x v="2"/>
    <s v="pending"/>
  </r>
  <r>
    <n v="202400013"/>
    <x v="214"/>
    <n v="2024"/>
    <x v="3"/>
    <n v="8"/>
    <x v="71"/>
    <s v="Carlos Dupont"/>
    <x v="0"/>
    <s v="Netherlands"/>
    <x v="0"/>
    <x v="4"/>
    <n v="6"/>
    <n v="77.760000000000005"/>
    <n v="466.56000000000006"/>
    <s v="Medium"/>
    <x v="2"/>
    <s v="completed"/>
  </r>
  <r>
    <n v="202401071"/>
    <x v="73"/>
    <n v="2024"/>
    <x v="2"/>
    <n v="1"/>
    <x v="42"/>
    <s v="Lisa Martin"/>
    <x v="0"/>
    <s v="Mexico"/>
    <x v="1"/>
    <x v="0"/>
    <n v="3"/>
    <n v="1331.24"/>
    <n v="3993.7200000000003"/>
    <s v="Medium"/>
    <x v="3"/>
    <s v="pending"/>
  </r>
  <r>
    <n v="202400831"/>
    <x v="215"/>
    <n v="2024"/>
    <x v="2"/>
    <n v="1"/>
    <x v="65"/>
    <s v="Lucas Muller"/>
    <x v="1"/>
    <s v="Germany"/>
    <x v="0"/>
    <x v="0"/>
    <n v="10"/>
    <n v="1439.04"/>
    <n v="14390.4"/>
    <s v="Bulk"/>
    <x v="2"/>
    <s v="completed"/>
  </r>
  <r>
    <n v="202400523"/>
    <x v="65"/>
    <n v="2024"/>
    <x v="3"/>
    <n v="7"/>
    <x v="38"/>
    <s v="Nora Rodriguez"/>
    <x v="3"/>
    <s v="Germany"/>
    <x v="0"/>
    <x v="2"/>
    <n v="1"/>
    <n v="1269.3599999999999"/>
    <n v="1269.3599999999999"/>
    <s v="Single"/>
    <x v="2"/>
    <s v="shipped"/>
  </r>
  <r>
    <n v="202400863"/>
    <x v="122"/>
    <n v="2024"/>
    <x v="1"/>
    <n v="6"/>
    <x v="27"/>
    <s v="Paul Rodriguez"/>
    <x v="2"/>
    <s v="Spain"/>
    <x v="0"/>
    <x v="5"/>
    <n v="7"/>
    <n v="724.43"/>
    <n v="5071.0099999999993"/>
    <s v="Medium"/>
    <x v="1"/>
    <s v="pending"/>
  </r>
  <r>
    <n v="202401086"/>
    <x v="121"/>
    <n v="2024"/>
    <x v="1"/>
    <n v="6"/>
    <x v="13"/>
    <s v="Nora Brown"/>
    <x v="3"/>
    <s v="Italy"/>
    <x v="0"/>
    <x v="0"/>
    <n v="8"/>
    <n v="730.64"/>
    <n v="5845.12"/>
    <s v="Medium"/>
    <x v="2"/>
    <s v="shipped"/>
  </r>
  <r>
    <n v="202400827"/>
    <x v="216"/>
    <n v="2024"/>
    <x v="0"/>
    <n v="12"/>
    <x v="2"/>
    <s v="John Wilson"/>
    <x v="0"/>
    <s v="Mexico"/>
    <x v="1"/>
    <x v="14"/>
    <n v="4"/>
    <n v="1760.6"/>
    <n v="7042.4"/>
    <s v="Medium"/>
    <x v="2"/>
    <s v="cancelled"/>
  </r>
  <r>
    <n v="202401180"/>
    <x v="23"/>
    <n v="2024"/>
    <x v="3"/>
    <n v="9"/>
    <x v="23"/>
    <s v="David Martin"/>
    <x v="2"/>
    <s v="Canada"/>
    <x v="2"/>
    <x v="9"/>
    <n v="2"/>
    <n v="832.26"/>
    <n v="1664.52"/>
    <s v="Single"/>
    <x v="2"/>
    <s v="cancelled"/>
  </r>
  <r>
    <n v="202401149"/>
    <x v="101"/>
    <n v="2024"/>
    <x v="3"/>
    <n v="8"/>
    <x v="1"/>
    <s v="Carlos Muller"/>
    <x v="1"/>
    <s v="Netherlands"/>
    <x v="0"/>
    <x v="2"/>
    <n v="6"/>
    <n v="1023.57"/>
    <n v="6141.42"/>
    <s v="Medium"/>
    <x v="1"/>
    <s v="completed"/>
  </r>
  <r>
    <n v="202400363"/>
    <x v="217"/>
    <n v="2024"/>
    <x v="3"/>
    <n v="7"/>
    <x v="58"/>
    <s v="Carlos Nilsson"/>
    <x v="0"/>
    <s v="Germany"/>
    <x v="0"/>
    <x v="9"/>
    <n v="5"/>
    <n v="215.9"/>
    <n v="1079.5"/>
    <s v="Medium"/>
    <x v="2"/>
    <s v="completed"/>
  </r>
  <r>
    <n v="202401084"/>
    <x v="218"/>
    <n v="2024"/>
    <x v="2"/>
    <n v="3"/>
    <x v="52"/>
    <s v="Emma Garcia"/>
    <x v="2"/>
    <s v="Mexico"/>
    <x v="1"/>
    <x v="3"/>
    <n v="5"/>
    <n v="39.24"/>
    <n v="196.20000000000002"/>
    <s v="Medium"/>
    <x v="1"/>
    <s v="shipped"/>
  </r>
  <r>
    <n v="202400472"/>
    <x v="219"/>
    <n v="2024"/>
    <x v="3"/>
    <n v="7"/>
    <x v="5"/>
    <s v="James Nilsson"/>
    <x v="1"/>
    <s v="Italy"/>
    <x v="0"/>
    <x v="11"/>
    <n v="3"/>
    <n v="1043.18"/>
    <n v="3129.54"/>
    <s v="Medium"/>
    <x v="2"/>
    <s v="completed"/>
  </r>
  <r>
    <n v="202400582"/>
    <x v="87"/>
    <n v="2024"/>
    <x v="3"/>
    <n v="7"/>
    <x v="6"/>
    <s v="Anna Johnson"/>
    <x v="0"/>
    <s v="Germany"/>
    <x v="0"/>
    <x v="14"/>
    <n v="12"/>
    <n v="521.91"/>
    <n v="6262.92"/>
    <s v="Bulk"/>
    <x v="1"/>
    <s v="completed"/>
  </r>
  <r>
    <n v="202400662"/>
    <x v="206"/>
    <n v="2024"/>
    <x v="1"/>
    <n v="4"/>
    <x v="1"/>
    <s v="Carlos Muller"/>
    <x v="1"/>
    <s v="Netherlands"/>
    <x v="0"/>
    <x v="11"/>
    <n v="12"/>
    <n v="1910.35"/>
    <n v="22924.199999999997"/>
    <s v="Bulk"/>
    <x v="1"/>
    <s v="completed"/>
  </r>
  <r>
    <n v="202400274"/>
    <x v="8"/>
    <n v="2024"/>
    <x v="2"/>
    <n v="3"/>
    <x v="20"/>
    <s v="Lucas Rossi"/>
    <x v="0"/>
    <s v="Australia"/>
    <x v="3"/>
    <x v="13"/>
    <n v="1"/>
    <n v="719.99"/>
    <n v="719.99"/>
    <s v="Single"/>
    <x v="1"/>
    <s v="completed"/>
  </r>
  <r>
    <n v="202400527"/>
    <x v="213"/>
    <n v="2024"/>
    <x v="2"/>
    <n v="3"/>
    <x v="60"/>
    <s v="Anna Rossi"/>
    <x v="0"/>
    <s v="Italy"/>
    <x v="0"/>
    <x v="3"/>
    <n v="2"/>
    <n v="1405.25"/>
    <n v="2810.5"/>
    <s v="Single"/>
    <x v="1"/>
    <s v="completed"/>
  </r>
  <r>
    <n v="202400238"/>
    <x v="27"/>
    <n v="2024"/>
    <x v="1"/>
    <n v="6"/>
    <x v="0"/>
    <s v="Sophie Brown"/>
    <x v="0"/>
    <s v="France"/>
    <x v="0"/>
    <x v="0"/>
    <n v="11"/>
    <n v="723.24"/>
    <n v="7955.64"/>
    <s v="Bulk"/>
    <x v="2"/>
    <s v="completed"/>
  </r>
  <r>
    <n v="202400762"/>
    <x v="139"/>
    <n v="2024"/>
    <x v="2"/>
    <n v="1"/>
    <x v="43"/>
    <s v="James Garcia"/>
    <x v="2"/>
    <s v="Australia"/>
    <x v="3"/>
    <x v="12"/>
    <n v="6"/>
    <n v="104.11"/>
    <n v="624.66"/>
    <s v="Medium"/>
    <x v="3"/>
    <s v="cancelled"/>
  </r>
  <r>
    <n v="202400007"/>
    <x v="111"/>
    <n v="2024"/>
    <x v="1"/>
    <n v="4"/>
    <x v="66"/>
    <s v="Sarah Leclerc"/>
    <x v="3"/>
    <s v="Germany"/>
    <x v="0"/>
    <x v="8"/>
    <n v="14"/>
    <n v="548.39"/>
    <n v="7677.46"/>
    <s v="Bulk"/>
    <x v="2"/>
    <s v="refunded"/>
  </r>
  <r>
    <n v="202400312"/>
    <x v="1"/>
    <n v="2024"/>
    <x v="0"/>
    <n v="10"/>
    <x v="63"/>
    <s v="Lucas Chen"/>
    <x v="1"/>
    <s v="Italy"/>
    <x v="0"/>
    <x v="9"/>
    <n v="7"/>
    <n v="81.11"/>
    <n v="567.77"/>
    <s v="Medium"/>
    <x v="3"/>
    <s v="completed"/>
  </r>
  <r>
    <n v="202401040"/>
    <x v="163"/>
    <n v="2024"/>
    <x v="1"/>
    <n v="6"/>
    <x v="8"/>
    <s v="Julia Johnson"/>
    <x v="2"/>
    <s v="France"/>
    <x v="0"/>
    <x v="12"/>
    <n v="10"/>
    <n v="1321.72"/>
    <n v="13217.2"/>
    <s v="Bulk"/>
    <x v="2"/>
    <s v="refunded"/>
  </r>
  <r>
    <n v="202400364"/>
    <x v="220"/>
    <n v="2024"/>
    <x v="2"/>
    <n v="2"/>
    <x v="17"/>
    <s v="Maria Johnson"/>
    <x v="0"/>
    <s v="Brazil"/>
    <x v="1"/>
    <x v="2"/>
    <n v="14"/>
    <n v="354.11"/>
    <n v="4957.54"/>
    <s v="Bulk"/>
    <x v="3"/>
    <s v="pending"/>
  </r>
  <r>
    <n v="202401101"/>
    <x v="221"/>
    <n v="2024"/>
    <x v="2"/>
    <n v="1"/>
    <x v="53"/>
    <s v="Nora Muller"/>
    <x v="3"/>
    <s v="USA"/>
    <x v="2"/>
    <x v="9"/>
    <n v="9"/>
    <n v="1695.83"/>
    <n v="15262.47"/>
    <s v="Medium"/>
    <x v="0"/>
    <s v="cancelled"/>
  </r>
  <r>
    <n v="202400216"/>
    <x v="222"/>
    <n v="2024"/>
    <x v="3"/>
    <n v="8"/>
    <x v="42"/>
    <s v="Lisa Martin"/>
    <x v="0"/>
    <s v="Mexico"/>
    <x v="1"/>
    <x v="0"/>
    <n v="10"/>
    <n v="689.18"/>
    <n v="6891.7999999999993"/>
    <s v="Bulk"/>
    <x v="2"/>
    <s v="completed"/>
  </r>
  <r>
    <n v="202400899"/>
    <x v="101"/>
    <n v="2024"/>
    <x v="3"/>
    <n v="8"/>
    <x v="78"/>
    <s v="Emma Smith"/>
    <x v="0"/>
    <s v="Mexico"/>
    <x v="1"/>
    <x v="14"/>
    <n v="3"/>
    <n v="1199.82"/>
    <n v="3599.46"/>
    <s v="Medium"/>
    <x v="0"/>
    <s v="completed"/>
  </r>
  <r>
    <n v="202400028"/>
    <x v="166"/>
    <n v="2024"/>
    <x v="2"/>
    <n v="3"/>
    <x v="67"/>
    <s v="Nora Chen"/>
    <x v="3"/>
    <s v="UK"/>
    <x v="0"/>
    <x v="14"/>
    <n v="5"/>
    <n v="995.7"/>
    <n v="4978.5"/>
    <s v="Medium"/>
    <x v="2"/>
    <s v="completed"/>
  </r>
  <r>
    <n v="202401169"/>
    <x v="223"/>
    <n v="2024"/>
    <x v="0"/>
    <n v="12"/>
    <x v="61"/>
    <s v="Anna Dupont"/>
    <x v="0"/>
    <s v="Brazil"/>
    <x v="1"/>
    <x v="1"/>
    <n v="13"/>
    <n v="1735.74"/>
    <n v="22564.62"/>
    <s v="Bulk"/>
    <x v="2"/>
    <s v="cancelled"/>
  </r>
  <r>
    <n v="202400875"/>
    <x v="224"/>
    <n v="2024"/>
    <x v="2"/>
    <n v="2"/>
    <x v="50"/>
    <s v="Marie Chen"/>
    <x v="3"/>
    <s v="France"/>
    <x v="0"/>
    <x v="8"/>
    <n v="12"/>
    <n v="836.74"/>
    <n v="10040.880000000001"/>
    <s v="Bulk"/>
    <x v="1"/>
    <s v="completed"/>
  </r>
  <r>
    <n v="202400671"/>
    <x v="148"/>
    <n v="2024"/>
    <x v="1"/>
    <n v="6"/>
    <x v="69"/>
    <s v="Pierre Rossi"/>
    <x v="3"/>
    <s v="Germany"/>
    <x v="0"/>
    <x v="5"/>
    <n v="5"/>
    <n v="1466.63"/>
    <n v="7333.1500000000005"/>
    <s v="Medium"/>
    <x v="0"/>
    <s v="completed"/>
  </r>
  <r>
    <n v="202400932"/>
    <x v="147"/>
    <n v="2024"/>
    <x v="2"/>
    <n v="2"/>
    <x v="16"/>
    <s v="Sophie Tanaka"/>
    <x v="3"/>
    <s v="Australia"/>
    <x v="3"/>
    <x v="2"/>
    <n v="14"/>
    <n v="22.22"/>
    <n v="311.08"/>
    <s v="Bulk"/>
    <x v="1"/>
    <s v="completed"/>
  </r>
  <r>
    <n v="202400483"/>
    <x v="182"/>
    <n v="2024"/>
    <x v="0"/>
    <n v="12"/>
    <x v="69"/>
    <s v="Pierre Rossi"/>
    <x v="3"/>
    <s v="Germany"/>
    <x v="0"/>
    <x v="4"/>
    <n v="1"/>
    <n v="1859.87"/>
    <n v="1859.87"/>
    <s v="Single"/>
    <x v="3"/>
    <s v="cancelled"/>
  </r>
  <r>
    <n v="202400928"/>
    <x v="95"/>
    <n v="2024"/>
    <x v="2"/>
    <n v="3"/>
    <x v="20"/>
    <s v="Lucas Rossi"/>
    <x v="0"/>
    <s v="Australia"/>
    <x v="3"/>
    <x v="14"/>
    <n v="12"/>
    <n v="1875.89"/>
    <n v="22510.68"/>
    <s v="Bulk"/>
    <x v="2"/>
    <s v="pending"/>
  </r>
  <r>
    <n v="202400948"/>
    <x v="134"/>
    <n v="2024"/>
    <x v="3"/>
    <n v="7"/>
    <x v="77"/>
    <s v="Maria Smith"/>
    <x v="2"/>
    <s v="Australia"/>
    <x v="3"/>
    <x v="10"/>
    <n v="2"/>
    <n v="1212.3699999999999"/>
    <n v="2424.7399999999998"/>
    <s v="Single"/>
    <x v="2"/>
    <s v="completed"/>
  </r>
  <r>
    <n v="202400549"/>
    <x v="124"/>
    <n v="2024"/>
    <x v="0"/>
    <n v="12"/>
    <x v="68"/>
    <s v="Nora Rodriguez"/>
    <x v="0"/>
    <s v="Mexico"/>
    <x v="1"/>
    <x v="5"/>
    <n v="3"/>
    <n v="1351.74"/>
    <n v="4055.2200000000003"/>
    <s v="Medium"/>
    <x v="3"/>
    <s v="shipped"/>
  </r>
  <r>
    <n v="202400355"/>
    <x v="42"/>
    <n v="2024"/>
    <x v="1"/>
    <n v="5"/>
    <x v="9"/>
    <s v="Maria Martin"/>
    <x v="1"/>
    <s v="Germany"/>
    <x v="0"/>
    <x v="6"/>
    <n v="1"/>
    <n v="1197.56"/>
    <n v="1197.56"/>
    <s v="Single"/>
    <x v="3"/>
    <s v="refunded"/>
  </r>
  <r>
    <n v="202401061"/>
    <x v="222"/>
    <n v="2024"/>
    <x v="3"/>
    <n v="8"/>
    <x v="65"/>
    <s v="Lucas Muller"/>
    <x v="1"/>
    <s v="Germany"/>
    <x v="0"/>
    <x v="11"/>
    <n v="3"/>
    <n v="1448.73"/>
    <n v="4346.1900000000005"/>
    <s v="Medium"/>
    <x v="2"/>
    <s v="completed"/>
  </r>
  <r>
    <n v="202400424"/>
    <x v="13"/>
    <n v="2024"/>
    <x v="1"/>
    <n v="6"/>
    <x v="78"/>
    <s v="Emma Smith"/>
    <x v="0"/>
    <s v="Mexico"/>
    <x v="1"/>
    <x v="12"/>
    <n v="9"/>
    <n v="1793.99"/>
    <n v="16145.91"/>
    <s v="Medium"/>
    <x v="0"/>
    <s v="pending "/>
  </r>
  <r>
    <n v="202400257"/>
    <x v="225"/>
    <n v="2024"/>
    <x v="3"/>
    <n v="9"/>
    <x v="46"/>
    <s v="Marie Martin"/>
    <x v="3"/>
    <s v="Canada"/>
    <x v="2"/>
    <x v="8"/>
    <n v="3"/>
    <n v="965.94"/>
    <n v="2897.82"/>
    <s v="Medium"/>
    <x v="2"/>
    <s v="pending "/>
  </r>
  <r>
    <n v="202400292"/>
    <x v="226"/>
    <n v="2024"/>
    <x v="2"/>
    <n v="3"/>
    <x v="49"/>
    <s v="Marie Smith"/>
    <x v="1"/>
    <s v="Netherlands"/>
    <x v="0"/>
    <x v="12"/>
    <n v="8"/>
    <n v="1853.22"/>
    <n v="14825.76"/>
    <s v="Medium"/>
    <x v="0"/>
    <s v="pending"/>
  </r>
  <r>
    <n v="202400026"/>
    <x v="227"/>
    <n v="2024"/>
    <x v="3"/>
    <n v="8"/>
    <x v="33"/>
    <s v="Sarah Rodriguez"/>
    <x v="0"/>
    <s v="Australia"/>
    <x v="3"/>
    <x v="6"/>
    <n v="4"/>
    <n v="56.14"/>
    <n v="224.56"/>
    <s v="Medium"/>
    <x v="1"/>
    <s v="completed"/>
  </r>
  <r>
    <n v="202400337"/>
    <x v="228"/>
    <n v="2024"/>
    <x v="3"/>
    <n v="9"/>
    <x v="28"/>
    <s v="Julia Nilsson"/>
    <x v="3"/>
    <s v="Brazil"/>
    <x v="1"/>
    <x v="5"/>
    <n v="12"/>
    <n v="712.61"/>
    <n v="8551.32"/>
    <s v="Bulk"/>
    <x v="3"/>
    <s v="shipped"/>
  </r>
  <r>
    <n v="202400412"/>
    <x v="228"/>
    <n v="2024"/>
    <x v="3"/>
    <n v="9"/>
    <x v="61"/>
    <s v="Anna Dupont"/>
    <x v="0"/>
    <s v="Brazil"/>
    <x v="1"/>
    <x v="5"/>
    <n v="2"/>
    <n v="1699.06"/>
    <n v="3398.12"/>
    <s v="Single"/>
    <x v="2"/>
    <s v="pending"/>
  </r>
  <r>
    <n v="202400048"/>
    <x v="229"/>
    <n v="2024"/>
    <x v="2"/>
    <n v="2"/>
    <x v="6"/>
    <s v="Anna Johnson"/>
    <x v="0"/>
    <s v="Germany"/>
    <x v="0"/>
    <x v="4"/>
    <n v="13"/>
    <n v="1393.5"/>
    <n v="18115.5"/>
    <s v="Bulk"/>
    <x v="2"/>
    <s v="cancelled"/>
  </r>
  <r>
    <n v="202400319"/>
    <x v="230"/>
    <n v="2024"/>
    <x v="0"/>
    <n v="10"/>
    <x v="37"/>
    <s v="Pierre Smith"/>
    <x v="0"/>
    <s v="Australia"/>
    <x v="3"/>
    <x v="6"/>
    <n v="12"/>
    <n v="1785.5"/>
    <n v="21426"/>
    <s v="Bulk"/>
    <x v="1"/>
    <s v="completed"/>
  </r>
  <r>
    <n v="202400107"/>
    <x v="86"/>
    <n v="2024"/>
    <x v="3"/>
    <n v="8"/>
    <x v="22"/>
    <s v="Nora Muller"/>
    <x v="0"/>
    <s v="Japan"/>
    <x v="3"/>
    <x v="4"/>
    <n v="10"/>
    <n v="1939.13"/>
    <n v="19391.300000000003"/>
    <s v="Bulk"/>
    <x v="0"/>
    <s v="completed"/>
  </r>
  <r>
    <n v="202400817"/>
    <x v="231"/>
    <n v="2024"/>
    <x v="3"/>
    <n v="7"/>
    <x v="3"/>
    <s v="Carlos Tanaka"/>
    <x v="2"/>
    <s v="Italy"/>
    <x v="0"/>
    <x v="11"/>
    <n v="3"/>
    <n v="1194.69"/>
    <n v="3584.07"/>
    <s v="Medium"/>
    <x v="2"/>
    <s v="cancelled"/>
  </r>
  <r>
    <n v="202400056"/>
    <x v="232"/>
    <n v="2024"/>
    <x v="1"/>
    <n v="4"/>
    <x v="47"/>
    <s v="Pierre Brown"/>
    <x v="0"/>
    <s v="Japan"/>
    <x v="3"/>
    <x v="1"/>
    <n v="2"/>
    <n v="1324.78"/>
    <n v="2649.56"/>
    <s v="Single"/>
    <x v="2"/>
    <s v="shipped"/>
  </r>
  <r>
    <n v="202400536"/>
    <x v="199"/>
    <n v="2024"/>
    <x v="1"/>
    <n v="6"/>
    <x v="37"/>
    <s v="Pierre Smith"/>
    <x v="0"/>
    <s v="Australia"/>
    <x v="3"/>
    <x v="9"/>
    <n v="8"/>
    <n v="254.84"/>
    <n v="2038.72"/>
    <s v="Medium"/>
    <x v="2"/>
    <s v="completed"/>
  </r>
  <r>
    <n v="202400214"/>
    <x v="150"/>
    <n v="2024"/>
    <x v="2"/>
    <n v="1"/>
    <x v="78"/>
    <s v="Emma Smith"/>
    <x v="0"/>
    <s v="Mexico"/>
    <x v="1"/>
    <x v="12"/>
    <n v="3"/>
    <n v="981.41"/>
    <n v="2944.23"/>
    <s v="Medium"/>
    <x v="1"/>
    <s v="completed"/>
  </r>
  <r>
    <n v="202400121"/>
    <x v="37"/>
    <n v="2024"/>
    <x v="3"/>
    <n v="9"/>
    <x v="10"/>
    <s v="John Garcia"/>
    <x v="3"/>
    <s v="Brazil"/>
    <x v="1"/>
    <x v="10"/>
    <n v="1"/>
    <n v="1984.8"/>
    <n v="1984.8"/>
    <s v="Single"/>
    <x v="1"/>
    <s v="completed"/>
  </r>
  <r>
    <n v="202401081"/>
    <x v="233"/>
    <n v="2024"/>
    <x v="0"/>
    <n v="12"/>
    <x v="0"/>
    <s v="Sophie Brown"/>
    <x v="0"/>
    <s v="France"/>
    <x v="0"/>
    <x v="2"/>
    <n v="4"/>
    <n v="973.96"/>
    <n v="3895.84"/>
    <s v="Medium"/>
    <x v="1"/>
    <s v="shipped"/>
  </r>
  <r>
    <n v="202400431"/>
    <x v="29"/>
    <n v="2024"/>
    <x v="0"/>
    <n v="10"/>
    <x v="27"/>
    <s v="Paul Rodriguez"/>
    <x v="2"/>
    <s v="Spain"/>
    <x v="0"/>
    <x v="3"/>
    <n v="13"/>
    <n v="1289.83"/>
    <n v="16767.79"/>
    <s v="Bulk"/>
    <x v="1"/>
    <s v="cancelled"/>
  </r>
  <r>
    <n v="202400534"/>
    <x v="234"/>
    <n v="2024"/>
    <x v="1"/>
    <n v="5"/>
    <x v="7"/>
    <s v="Sophie Johnson"/>
    <x v="1"/>
    <s v="USA"/>
    <x v="2"/>
    <x v="14"/>
    <n v="3"/>
    <n v="76.84"/>
    <n v="230.52"/>
    <s v="Medium"/>
    <x v="1"/>
    <s v="completed"/>
  </r>
  <r>
    <n v="202400073"/>
    <x v="233"/>
    <n v="2024"/>
    <x v="0"/>
    <n v="12"/>
    <x v="50"/>
    <s v="Marie Chen"/>
    <x v="3"/>
    <s v="France"/>
    <x v="0"/>
    <x v="2"/>
    <n v="11"/>
    <n v="600.49"/>
    <n v="6605.39"/>
    <s v="Bulk"/>
    <x v="2"/>
    <s v="shipped"/>
  </r>
  <r>
    <n v="202400970"/>
    <x v="194"/>
    <n v="2024"/>
    <x v="1"/>
    <n v="5"/>
    <x v="38"/>
    <s v="Nora Rodriguez"/>
    <x v="3"/>
    <s v="Germany"/>
    <x v="0"/>
    <x v="8"/>
    <n v="10"/>
    <n v="355.18"/>
    <n v="3551.8"/>
    <s v="Bulk"/>
    <x v="1"/>
    <s v="shipped"/>
  </r>
  <r>
    <n v="202401019"/>
    <x v="235"/>
    <n v="2024"/>
    <x v="2"/>
    <n v="3"/>
    <x v="31"/>
    <s v="Carlos Wilson"/>
    <x v="0"/>
    <s v="Australia"/>
    <x v="3"/>
    <x v="9"/>
    <n v="9"/>
    <n v="1653.35"/>
    <n v="14880.15"/>
    <s v="Medium"/>
    <x v="2"/>
    <s v="completed"/>
  </r>
  <r>
    <n v="202400632"/>
    <x v="179"/>
    <n v="2024"/>
    <x v="2"/>
    <n v="2"/>
    <x v="62"/>
    <s v="Paul Dupont"/>
    <x v="2"/>
    <s v="Netherlands"/>
    <x v="0"/>
    <x v="14"/>
    <n v="9"/>
    <n v="1718.57"/>
    <n v="15467.13"/>
    <s v="Medium"/>
    <x v="1"/>
    <s v="pending"/>
  </r>
  <r>
    <n v="202400964"/>
    <x v="231"/>
    <n v="2024"/>
    <x v="3"/>
    <n v="7"/>
    <x v="57"/>
    <s v="Emma Johnson"/>
    <x v="1"/>
    <s v="Netherlands"/>
    <x v="0"/>
    <x v="3"/>
    <n v="9"/>
    <n v="1662.71"/>
    <n v="14964.39"/>
    <s v="Medium"/>
    <x v="3"/>
    <s v="completed"/>
  </r>
  <r>
    <n v="202400913"/>
    <x v="27"/>
    <n v="2024"/>
    <x v="1"/>
    <n v="6"/>
    <x v="21"/>
    <s v="Anna Johnson"/>
    <x v="1"/>
    <s v="Australia"/>
    <x v="3"/>
    <x v="4"/>
    <n v="5"/>
    <n v="987.89"/>
    <n v="4939.45"/>
    <s v="Medium"/>
    <x v="0"/>
    <s v="shipped"/>
  </r>
  <r>
    <n v="202400803"/>
    <x v="236"/>
    <n v="2024"/>
    <x v="0"/>
    <n v="11"/>
    <x v="58"/>
    <s v="Carlos Nilsson"/>
    <x v="0"/>
    <s v="Germany"/>
    <x v="0"/>
    <x v="12"/>
    <n v="9"/>
    <n v="1516.63"/>
    <n v="13649.670000000002"/>
    <s v="Medium"/>
    <x v="2"/>
    <s v="cancelled"/>
  </r>
  <r>
    <n v="202400567"/>
    <x v="220"/>
    <n v="2024"/>
    <x v="2"/>
    <n v="2"/>
    <x v="28"/>
    <s v="Julia Nilsson"/>
    <x v="3"/>
    <s v="Brazil"/>
    <x v="1"/>
    <x v="1"/>
    <n v="2"/>
    <n v="1522.66"/>
    <n v="3045.32"/>
    <s v="Single"/>
    <x v="3"/>
    <s v="cancelled"/>
  </r>
  <r>
    <n v="202400729"/>
    <x v="176"/>
    <n v="2024"/>
    <x v="3"/>
    <n v="7"/>
    <x v="16"/>
    <s v="Sophie Tanaka"/>
    <x v="3"/>
    <s v="Australia"/>
    <x v="3"/>
    <x v="4"/>
    <n v="12"/>
    <n v="1523.56"/>
    <n v="18282.72"/>
    <s v="Bulk"/>
    <x v="3"/>
    <s v="completed"/>
  </r>
  <r>
    <n v="202400747"/>
    <x v="237"/>
    <n v="2024"/>
    <x v="3"/>
    <n v="7"/>
    <x v="16"/>
    <s v="Sophie Tanaka"/>
    <x v="3"/>
    <s v="Australia"/>
    <x v="3"/>
    <x v="0"/>
    <n v="5"/>
    <n v="654.04"/>
    <n v="3270.2"/>
    <s v="Medium"/>
    <x v="2"/>
    <s v="completed"/>
  </r>
  <r>
    <n v="202400515"/>
    <x v="28"/>
    <n v="2024"/>
    <x v="1"/>
    <n v="5"/>
    <x v="27"/>
    <s v="Paul Rodriguez"/>
    <x v="2"/>
    <s v="Spain"/>
    <x v="0"/>
    <x v="8"/>
    <n v="10"/>
    <n v="516.80999999999995"/>
    <n v="5168.0999999999995"/>
    <s v="Bulk"/>
    <x v="1"/>
    <s v="completed"/>
  </r>
  <r>
    <n v="202400326"/>
    <x v="79"/>
    <n v="2024"/>
    <x v="3"/>
    <n v="9"/>
    <x v="52"/>
    <s v="Emma Garcia"/>
    <x v="2"/>
    <s v="Mexico"/>
    <x v="1"/>
    <x v="8"/>
    <n v="3"/>
    <n v="1012.19"/>
    <n v="3036.57"/>
    <s v="Medium"/>
    <x v="2"/>
    <s v="completed"/>
  </r>
  <r>
    <n v="202400945"/>
    <x v="32"/>
    <n v="2024"/>
    <x v="1"/>
    <n v="6"/>
    <x v="35"/>
    <s v="John Rodriguez"/>
    <x v="2"/>
    <s v="USA"/>
    <x v="2"/>
    <x v="9"/>
    <n v="4"/>
    <n v="1657.91"/>
    <n v="6631.64"/>
    <s v="Medium"/>
    <x v="1"/>
    <s v="completed"/>
  </r>
  <r>
    <n v="202400317"/>
    <x v="222"/>
    <n v="2024"/>
    <x v="3"/>
    <n v="8"/>
    <x v="54"/>
    <s v="James Brown"/>
    <x v="0"/>
    <s v="France"/>
    <x v="0"/>
    <x v="12"/>
    <n v="1"/>
    <n v="630.47"/>
    <n v="630.47"/>
    <s v="Single"/>
    <x v="1"/>
    <s v="completed"/>
  </r>
  <r>
    <n v="202400812"/>
    <x v="238"/>
    <n v="2024"/>
    <x v="3"/>
    <n v="8"/>
    <x v="64"/>
    <s v="Maria Wilson"/>
    <x v="2"/>
    <s v="Germany"/>
    <x v="0"/>
    <x v="3"/>
    <n v="8"/>
    <n v="748.5"/>
    <n v="5988"/>
    <s v="Medium"/>
    <x v="2"/>
    <s v="completed"/>
  </r>
  <r>
    <n v="202400847"/>
    <x v="239"/>
    <n v="2024"/>
    <x v="1"/>
    <n v="6"/>
    <x v="41"/>
    <s v="Sophie Garcia"/>
    <x v="1"/>
    <s v="USA"/>
    <x v="2"/>
    <x v="13"/>
    <n v="7"/>
    <n v="1589.36"/>
    <n v="11125.519999999999"/>
    <s v="Medium"/>
    <x v="2"/>
    <s v="shipped"/>
  </r>
  <r>
    <n v="202400542"/>
    <x v="240"/>
    <n v="2024"/>
    <x v="0"/>
    <n v="10"/>
    <x v="21"/>
    <s v="Anna Johnson"/>
    <x v="1"/>
    <s v="Australia"/>
    <x v="3"/>
    <x v="13"/>
    <n v="6"/>
    <n v="1746.54"/>
    <n v="10479.24"/>
    <s v="Medium"/>
    <x v="3"/>
    <s v="completed"/>
  </r>
  <r>
    <n v="202400702"/>
    <x v="136"/>
    <n v="2024"/>
    <x v="0"/>
    <n v="10"/>
    <x v="41"/>
    <s v="Sophie Garcia"/>
    <x v="1"/>
    <s v="USA"/>
    <x v="2"/>
    <x v="5"/>
    <n v="10"/>
    <n v="1246.67"/>
    <n v="12466.7"/>
    <s v="Bulk"/>
    <x v="2"/>
    <s v="completed"/>
  </r>
  <r>
    <n v="202401035"/>
    <x v="83"/>
    <n v="2024"/>
    <x v="2"/>
    <n v="2"/>
    <x v="60"/>
    <s v="Anna Rossi"/>
    <x v="0"/>
    <s v="Italy"/>
    <x v="0"/>
    <x v="0"/>
    <n v="0"/>
    <n v="1298"/>
    <n v="0"/>
    <s v="Single"/>
    <x v="2"/>
    <s v="cancelled"/>
  </r>
  <r>
    <n v="202400766"/>
    <x v="200"/>
    <n v="2024"/>
    <x v="2"/>
    <n v="2"/>
    <x v="28"/>
    <s v="Julia Nilsson"/>
    <x v="3"/>
    <s v="Brazil"/>
    <x v="1"/>
    <x v="11"/>
    <n v="11"/>
    <n v="331.3"/>
    <n v="3644.3"/>
    <s v="Bulk"/>
    <x v="2"/>
    <s v="completed"/>
  </r>
  <r>
    <n v="202400561"/>
    <x v="241"/>
    <n v="2024"/>
    <x v="1"/>
    <n v="6"/>
    <x v="79"/>
    <s v="Pierre Smith"/>
    <x v="0"/>
    <s v="Netherlands"/>
    <x v="0"/>
    <x v="0"/>
    <n v="8"/>
    <n v="921.27"/>
    <n v="7370.16"/>
    <s v="Medium"/>
    <x v="0"/>
    <s v="pending"/>
  </r>
  <r>
    <n v="202400061"/>
    <x v="71"/>
    <n v="2024"/>
    <x v="0"/>
    <n v="11"/>
    <x v="11"/>
    <s v="Paul Martin"/>
    <x v="0"/>
    <s v="Spain"/>
    <x v="0"/>
    <x v="5"/>
    <n v="8"/>
    <n v="545.19000000000005"/>
    <n v="4361.5200000000004"/>
    <s v="Medium"/>
    <x v="2"/>
    <s v="completed"/>
  </r>
  <r>
    <n v="202400740"/>
    <x v="36"/>
    <n v="2024"/>
    <x v="3"/>
    <n v="7"/>
    <x v="17"/>
    <s v="Maria Johnson"/>
    <x v="0"/>
    <s v="Brazil"/>
    <x v="1"/>
    <x v="11"/>
    <n v="1"/>
    <n v="540.20000000000005"/>
    <n v="540.20000000000005"/>
    <s v="Single"/>
    <x v="0"/>
    <s v="shipped"/>
  </r>
  <r>
    <n v="202400093"/>
    <x v="99"/>
    <n v="2024"/>
    <x v="0"/>
    <n v="10"/>
    <x v="55"/>
    <s v="Sarah Johnson"/>
    <x v="2"/>
    <s v="Germany"/>
    <x v="0"/>
    <x v="2"/>
    <n v="8"/>
    <n v="1789.96"/>
    <n v="14319.68"/>
    <s v="Medium"/>
    <x v="2"/>
    <s v="completed"/>
  </r>
  <r>
    <n v="202400877"/>
    <x v="210"/>
    <n v="2024"/>
    <x v="2"/>
    <n v="3"/>
    <x v="61"/>
    <s v="Anna Dupont"/>
    <x v="0"/>
    <s v="Brazil"/>
    <x v="1"/>
    <x v="0"/>
    <n v="7"/>
    <n v="327.87"/>
    <n v="2295.09"/>
    <s v="Medium"/>
    <x v="0"/>
    <s v="shipped"/>
  </r>
  <r>
    <n v="202400713"/>
    <x v="44"/>
    <n v="2024"/>
    <x v="1"/>
    <n v="5"/>
    <x v="14"/>
    <s v="Sophie Nilsson"/>
    <x v="2"/>
    <s v="Japan"/>
    <x v="3"/>
    <x v="2"/>
    <n v="2"/>
    <n v="578.65"/>
    <n v="1157.3"/>
    <s v="Single"/>
    <x v="1"/>
    <s v="pending"/>
  </r>
  <r>
    <n v="202400352"/>
    <x v="164"/>
    <n v="2024"/>
    <x v="3"/>
    <n v="8"/>
    <x v="11"/>
    <s v="Paul Martin"/>
    <x v="0"/>
    <s v="Spain"/>
    <x v="0"/>
    <x v="12"/>
    <n v="9"/>
    <n v="746.72"/>
    <n v="6720.4800000000005"/>
    <s v="Medium"/>
    <x v="2"/>
    <s v="completed"/>
  </r>
  <r>
    <n v="202400954"/>
    <x v="80"/>
    <n v="2024"/>
    <x v="3"/>
    <n v="9"/>
    <x v="44"/>
    <s v="Lucas Muller"/>
    <x v="1"/>
    <s v="Netherlands"/>
    <x v="0"/>
    <x v="9"/>
    <n v="8"/>
    <n v="532.1"/>
    <n v="4256.8"/>
    <s v="Medium"/>
    <x v="2"/>
    <s v="completed"/>
  </r>
  <r>
    <n v="202400281"/>
    <x v="242"/>
    <n v="2024"/>
    <x v="1"/>
    <n v="5"/>
    <x v="55"/>
    <s v="Sarah Johnson"/>
    <x v="2"/>
    <s v="Germany"/>
    <x v="0"/>
    <x v="1"/>
    <n v="2"/>
    <n v="1922.54"/>
    <n v="3845.08"/>
    <s v="Single"/>
    <x v="3"/>
    <s v="completed"/>
  </r>
  <r>
    <n v="202401089"/>
    <x v="243"/>
    <n v="2024"/>
    <x v="3"/>
    <n v="8"/>
    <x v="60"/>
    <s v="Anna Rossi"/>
    <x v="0"/>
    <s v="Italy"/>
    <x v="0"/>
    <x v="7"/>
    <n v="6"/>
    <n v="638.91"/>
    <n v="3833.46"/>
    <s v="Medium"/>
    <x v="1"/>
    <s v="completed"/>
  </r>
  <r>
    <n v="202400423"/>
    <x v="244"/>
    <n v="2024"/>
    <x v="1"/>
    <n v="4"/>
    <x v="41"/>
    <s v="Sophie Garcia"/>
    <x v="1"/>
    <s v="USA"/>
    <x v="2"/>
    <x v="8"/>
    <n v="1"/>
    <n v="752.16"/>
    <n v="752.16"/>
    <s v="Single"/>
    <x v="2"/>
    <s v="shipped"/>
  </r>
  <r>
    <n v="202400360"/>
    <x v="16"/>
    <n v="2024"/>
    <x v="3"/>
    <n v="7"/>
    <x v="39"/>
    <s v="John Chen"/>
    <x v="2"/>
    <s v="Germany"/>
    <x v="0"/>
    <x v="14"/>
    <n v="1"/>
    <n v="893.39"/>
    <n v="893.39"/>
    <s v="Single"/>
    <x v="2"/>
    <s v="completed"/>
  </r>
  <r>
    <n v="202400494"/>
    <x v="192"/>
    <n v="2024"/>
    <x v="2"/>
    <n v="3"/>
    <x v="7"/>
    <s v="Sophie Johnson"/>
    <x v="1"/>
    <s v="USA"/>
    <x v="2"/>
    <x v="12"/>
    <n v="5"/>
    <n v="903.36"/>
    <n v="4516.8"/>
    <s v="Medium"/>
    <x v="0"/>
    <s v="completed"/>
  </r>
  <r>
    <n v="202400562"/>
    <x v="20"/>
    <n v="2024"/>
    <x v="2"/>
    <n v="3"/>
    <x v="33"/>
    <s v="Sarah Rodriguez"/>
    <x v="0"/>
    <s v="Australia"/>
    <x v="3"/>
    <x v="9"/>
    <n v="6"/>
    <n v="1673.98"/>
    <n v="10043.880000000001"/>
    <s v="Medium"/>
    <x v="2"/>
    <s v="completed"/>
  </r>
  <r>
    <n v="202400851"/>
    <x v="245"/>
    <n v="2024"/>
    <x v="3"/>
    <n v="9"/>
    <x v="24"/>
    <s v="Lucas Tanaka"/>
    <x v="1"/>
    <s v="Mexico"/>
    <x v="1"/>
    <x v="6"/>
    <n v="13"/>
    <n v="529.49"/>
    <n v="6883.37"/>
    <s v="Bulk"/>
    <x v="0"/>
    <s v="completed"/>
  </r>
  <r>
    <n v="202400589"/>
    <x v="246"/>
    <n v="2024"/>
    <x v="0"/>
    <n v="11"/>
    <x v="60"/>
    <s v="Anna Rossi"/>
    <x v="0"/>
    <s v="Italy"/>
    <x v="0"/>
    <x v="7"/>
    <n v="5"/>
    <n v="1259.6500000000001"/>
    <n v="6298.25"/>
    <s v="Medium"/>
    <x v="2"/>
    <s v="pending"/>
  </r>
  <r>
    <n v="202400669"/>
    <x v="247"/>
    <n v="2024"/>
    <x v="0"/>
    <n v="11"/>
    <x v="28"/>
    <s v="Julia Nilsson"/>
    <x v="3"/>
    <s v="Brazil"/>
    <x v="1"/>
    <x v="12"/>
    <n v="2"/>
    <n v="1167.9100000000001"/>
    <n v="2335.8200000000002"/>
    <s v="Single"/>
    <x v="2"/>
    <s v="cancelled"/>
  </r>
  <r>
    <n v="202401091"/>
    <x v="248"/>
    <n v="2024"/>
    <x v="2"/>
    <n v="1"/>
    <x v="54"/>
    <s v="James Brown"/>
    <x v="0"/>
    <s v="France"/>
    <x v="0"/>
    <x v="13"/>
    <n v="8"/>
    <n v="540.65"/>
    <n v="4325.2"/>
    <s v="Medium"/>
    <x v="0"/>
    <s v="completed"/>
  </r>
  <r>
    <n v="202400183"/>
    <x v="10"/>
    <n v="2024"/>
    <x v="0"/>
    <n v="11"/>
    <x v="60"/>
    <s v="Anna Rossi"/>
    <x v="0"/>
    <s v="Italy"/>
    <x v="0"/>
    <x v="4"/>
    <n v="7"/>
    <n v="133.97"/>
    <n v="937.79"/>
    <s v="Medium"/>
    <x v="2"/>
    <s v="shipped"/>
  </r>
  <r>
    <n v="202401085"/>
    <x v="170"/>
    <n v="2024"/>
    <x v="2"/>
    <n v="2"/>
    <x v="28"/>
    <s v="Julia Nilsson"/>
    <x v="3"/>
    <s v="Brazil"/>
    <x v="1"/>
    <x v="13"/>
    <n v="4"/>
    <n v="69.430000000000007"/>
    <n v="277.72000000000003"/>
    <s v="Medium"/>
    <x v="1"/>
    <s v="completed"/>
  </r>
  <r>
    <n v="202400459"/>
    <x v="12"/>
    <n v="2024"/>
    <x v="0"/>
    <n v="10"/>
    <x v="15"/>
    <s v="Anna Muller"/>
    <x v="1"/>
    <s v="Germany"/>
    <x v="0"/>
    <x v="4"/>
    <n v="5"/>
    <n v="815.71"/>
    <n v="4078.55"/>
    <s v="Medium"/>
    <x v="1"/>
    <s v="completed"/>
  </r>
  <r>
    <n v="202400111"/>
    <x v="141"/>
    <n v="2024"/>
    <x v="3"/>
    <n v="8"/>
    <x v="57"/>
    <s v="Emma Johnson"/>
    <x v="1"/>
    <s v="Netherlands"/>
    <x v="0"/>
    <x v="14"/>
    <n v="14"/>
    <n v="30.98"/>
    <n v="433.72"/>
    <s v="Bulk"/>
    <x v="2"/>
    <s v="pending"/>
  </r>
  <r>
    <n v="202400371"/>
    <x v="59"/>
    <n v="2024"/>
    <x v="1"/>
    <n v="4"/>
    <x v="26"/>
    <s v="Emma Leclerc"/>
    <x v="1"/>
    <s v="Canada"/>
    <x v="2"/>
    <x v="6"/>
    <n v="6"/>
    <n v="1816.6"/>
    <n v="10899.599999999999"/>
    <s v="Medium"/>
    <x v="3"/>
    <s v="completed"/>
  </r>
  <r>
    <n v="202400240"/>
    <x v="118"/>
    <n v="2024"/>
    <x v="2"/>
    <n v="3"/>
    <x v="77"/>
    <s v="Maria Smith"/>
    <x v="2"/>
    <s v="Australia"/>
    <x v="3"/>
    <x v="3"/>
    <n v="8"/>
    <n v="1954.23"/>
    <n v="15633.84"/>
    <s v="Medium"/>
    <x v="3"/>
    <s v="completed"/>
  </r>
  <r>
    <n v="202401106"/>
    <x v="162"/>
    <n v="2024"/>
    <x v="1"/>
    <n v="5"/>
    <x v="29"/>
    <s v="Nora Tanaka"/>
    <x v="3"/>
    <s v="Canada"/>
    <x v="2"/>
    <x v="1"/>
    <n v="5"/>
    <n v="1675.66"/>
    <n v="8378.3000000000011"/>
    <s v="Medium"/>
    <x v="2"/>
    <s v="completed"/>
  </r>
  <r>
    <n v="202401139"/>
    <x v="240"/>
    <n v="2024"/>
    <x v="0"/>
    <n v="10"/>
    <x v="57"/>
    <s v="Emma Johnson"/>
    <x v="1"/>
    <s v="Netherlands"/>
    <x v="0"/>
    <x v="14"/>
    <n v="3"/>
    <n v="674.55"/>
    <n v="2023.6499999999999"/>
    <s v="Medium"/>
    <x v="3"/>
    <s v="completed"/>
  </r>
  <r>
    <n v="202400931"/>
    <x v="249"/>
    <n v="2024"/>
    <x v="2"/>
    <n v="2"/>
    <x v="38"/>
    <s v="Nora Rodriguez"/>
    <x v="3"/>
    <s v="Germany"/>
    <x v="0"/>
    <x v="5"/>
    <n v="6"/>
    <n v="1207.68"/>
    <n v="7246.08"/>
    <s v="Medium"/>
    <x v="1"/>
    <s v="completed"/>
  </r>
  <r>
    <n v="202400205"/>
    <x v="250"/>
    <n v="2024"/>
    <x v="2"/>
    <n v="2"/>
    <x v="46"/>
    <s v="Marie Martin"/>
    <x v="3"/>
    <s v="Canada"/>
    <x v="2"/>
    <x v="6"/>
    <n v="12"/>
    <n v="267.95"/>
    <n v="3215.3999999999996"/>
    <s v="Bulk"/>
    <x v="2"/>
    <s v="refunded"/>
  </r>
  <r>
    <n v="202400824"/>
    <x v="66"/>
    <n v="2024"/>
    <x v="3"/>
    <n v="8"/>
    <x v="21"/>
    <s v="Anna Johnson"/>
    <x v="1"/>
    <s v="Australia"/>
    <x v="3"/>
    <x v="12"/>
    <n v="12"/>
    <n v="1362.86"/>
    <n v="16354.32"/>
    <s v="Bulk"/>
    <x v="2"/>
    <s v="shipped"/>
  </r>
  <r>
    <n v="202400262"/>
    <x v="148"/>
    <n v="2024"/>
    <x v="1"/>
    <n v="6"/>
    <x v="56"/>
    <s v="Lisa Chen"/>
    <x v="2"/>
    <s v="Spain"/>
    <x v="0"/>
    <x v="1"/>
    <n v="9"/>
    <n v="1991.61"/>
    <n v="17924.489999999998"/>
    <s v="Medium"/>
    <x v="3"/>
    <s v="pending"/>
  </r>
  <r>
    <n v="202400595"/>
    <x v="143"/>
    <n v="2024"/>
    <x v="0"/>
    <n v="11"/>
    <x v="3"/>
    <s v="Carlos Tanaka"/>
    <x v="2"/>
    <s v="Italy"/>
    <x v="0"/>
    <x v="13"/>
    <n v="6"/>
    <n v="1537.54"/>
    <n v="9225.24"/>
    <s v="Medium"/>
    <x v="2"/>
    <s v="completed"/>
  </r>
  <r>
    <n v="202400666"/>
    <x v="251"/>
    <n v="2024"/>
    <x v="0"/>
    <n v="12"/>
    <x v="78"/>
    <s v="Emma Smith"/>
    <x v="0"/>
    <s v="Mexico"/>
    <x v="1"/>
    <x v="10"/>
    <n v="3"/>
    <n v="571.99"/>
    <n v="1715.97"/>
    <s v="Medium"/>
    <x v="2"/>
    <s v="completed"/>
  </r>
  <r>
    <n v="202400340"/>
    <x v="113"/>
    <n v="2024"/>
    <x v="2"/>
    <n v="1"/>
    <x v="58"/>
    <s v="Carlos Nilsson"/>
    <x v="0"/>
    <s v="Germany"/>
    <x v="0"/>
    <x v="0"/>
    <n v="4"/>
    <n v="880.81"/>
    <n v="3523.24"/>
    <s v="Medium"/>
    <x v="2"/>
    <s v="shipped"/>
  </r>
  <r>
    <n v="202400856"/>
    <x v="234"/>
    <n v="2024"/>
    <x v="1"/>
    <n v="5"/>
    <x v="79"/>
    <s v="Pierre Smith"/>
    <x v="0"/>
    <s v="Netherlands"/>
    <x v="0"/>
    <x v="12"/>
    <n v="11"/>
    <n v="1210.8800000000001"/>
    <n v="13319.68"/>
    <s v="Bulk"/>
    <x v="3"/>
    <s v="pending"/>
  </r>
  <r>
    <n v="202400845"/>
    <x v="219"/>
    <n v="2024"/>
    <x v="3"/>
    <n v="7"/>
    <x v="54"/>
    <s v="James Brown"/>
    <x v="0"/>
    <s v="France"/>
    <x v="0"/>
    <x v="8"/>
    <n v="3"/>
    <n v="1556.36"/>
    <n v="4669.08"/>
    <s v="Medium"/>
    <x v="3"/>
    <s v="completed"/>
  </r>
  <r>
    <n v="202400486"/>
    <x v="178"/>
    <n v="2024"/>
    <x v="0"/>
    <n v="10"/>
    <x v="9"/>
    <s v="Maria Martin"/>
    <x v="1"/>
    <s v="Germany"/>
    <x v="0"/>
    <x v="6"/>
    <n v="4"/>
    <n v="1329.44"/>
    <n v="5317.76"/>
    <s v="Medium"/>
    <x v="2"/>
    <s v="cancelled"/>
  </r>
  <r>
    <n v="202400184"/>
    <x v="144"/>
    <n v="2024"/>
    <x v="1"/>
    <n v="6"/>
    <x v="53"/>
    <s v="Nora Muller"/>
    <x v="3"/>
    <s v="USA"/>
    <x v="2"/>
    <x v="4"/>
    <n v="3"/>
    <n v="1282.9000000000001"/>
    <n v="3848.7000000000003"/>
    <s v="Medium"/>
    <x v="2"/>
    <s v="refunded"/>
  </r>
  <r>
    <n v="202400138"/>
    <x v="133"/>
    <n v="2024"/>
    <x v="1"/>
    <n v="5"/>
    <x v="64"/>
    <s v="Maria Wilson"/>
    <x v="2"/>
    <s v="Germany"/>
    <x v="0"/>
    <x v="3"/>
    <n v="1"/>
    <n v="1176.07"/>
    <n v="1176.07"/>
    <s v="Single"/>
    <x v="2"/>
    <s v="completed"/>
  </r>
  <r>
    <n v="202401172"/>
    <x v="186"/>
    <n v="2024"/>
    <x v="2"/>
    <n v="3"/>
    <x v="6"/>
    <s v="Anna Johnson"/>
    <x v="0"/>
    <s v="Germany"/>
    <x v="0"/>
    <x v="0"/>
    <n v="4"/>
    <n v="307.39"/>
    <n v="1229.56"/>
    <s v="Medium"/>
    <x v="2"/>
    <s v="shipped"/>
  </r>
  <r>
    <n v="202400724"/>
    <x v="252"/>
    <n v="2024"/>
    <x v="1"/>
    <n v="6"/>
    <x v="42"/>
    <s v="Lisa Martin"/>
    <x v="0"/>
    <s v="Mexico"/>
    <x v="1"/>
    <x v="12"/>
    <n v="7"/>
    <n v="117.97"/>
    <n v="825.79"/>
    <s v="Medium"/>
    <x v="2"/>
    <s v="pending"/>
  </r>
  <r>
    <n v="202401069"/>
    <x v="128"/>
    <n v="2024"/>
    <x v="0"/>
    <n v="12"/>
    <x v="44"/>
    <s v="Lucas Muller"/>
    <x v="1"/>
    <s v="Netherlands"/>
    <x v="0"/>
    <x v="5"/>
    <n v="14"/>
    <n v="295.3"/>
    <n v="4134.2"/>
    <s v="Bulk"/>
    <x v="1"/>
    <s v="completed"/>
  </r>
  <r>
    <n v="202400081"/>
    <x v="253"/>
    <n v="2024"/>
    <x v="2"/>
    <n v="2"/>
    <x v="43"/>
    <s v="James Garcia"/>
    <x v="2"/>
    <s v="Australia"/>
    <x v="3"/>
    <x v="4"/>
    <n v="12"/>
    <n v="950.17"/>
    <n v="11402.039999999999"/>
    <s v="Bulk"/>
    <x v="3"/>
    <s v="cancelled"/>
  </r>
  <r>
    <n v="202400514"/>
    <x v="234"/>
    <n v="2024"/>
    <x v="1"/>
    <n v="5"/>
    <x v="75"/>
    <s v="Maria Muller"/>
    <x v="2"/>
    <s v="Australia"/>
    <x v="3"/>
    <x v="5"/>
    <n v="14"/>
    <n v="940.32"/>
    <n v="13164.480000000001"/>
    <s v="Bulk"/>
    <x v="1"/>
    <s v="completed"/>
  </r>
  <r>
    <n v="202401098"/>
    <x v="182"/>
    <n v="2024"/>
    <x v="0"/>
    <n v="12"/>
    <x v="52"/>
    <s v="Emma Garcia"/>
    <x v="2"/>
    <s v="Mexico"/>
    <x v="1"/>
    <x v="14"/>
    <n v="11"/>
    <n v="1011.41"/>
    <n v="11125.51"/>
    <s v="Bulk"/>
    <x v="2"/>
    <s v="cancelled"/>
  </r>
  <r>
    <n v="202400779"/>
    <x v="254"/>
    <n v="2024"/>
    <x v="2"/>
    <n v="1"/>
    <x v="9"/>
    <s v="Maria Martin"/>
    <x v="1"/>
    <s v="Germany"/>
    <x v="0"/>
    <x v="13"/>
    <n v="6"/>
    <n v="1536.79"/>
    <n v="9220.74"/>
    <s v="Medium"/>
    <x v="2"/>
    <s v="completed"/>
  </r>
  <r>
    <n v="202400030"/>
    <x v="43"/>
    <n v="2024"/>
    <x v="0"/>
    <n v="10"/>
    <x v="34"/>
    <s v="Anna Garcia"/>
    <x v="0"/>
    <s v="Germany"/>
    <x v="0"/>
    <x v="14"/>
    <n v="5"/>
    <n v="376.92"/>
    <n v="1884.6000000000001"/>
    <s v="Medium"/>
    <x v="2"/>
    <s v="completed"/>
  </r>
  <r>
    <n v="202401094"/>
    <x v="255"/>
    <n v="2024"/>
    <x v="2"/>
    <n v="3"/>
    <x v="20"/>
    <s v="Lucas Rossi"/>
    <x v="0"/>
    <s v="Australia"/>
    <x v="3"/>
    <x v="14"/>
    <n v="3"/>
    <n v="619.70000000000005"/>
    <n v="1859.1000000000001"/>
    <s v="Medium"/>
    <x v="3"/>
    <s v="cancelled"/>
  </r>
  <r>
    <n v="202400166"/>
    <x v="124"/>
    <n v="2024"/>
    <x v="0"/>
    <n v="12"/>
    <x v="53"/>
    <s v="Nora Muller"/>
    <x v="3"/>
    <s v="USA"/>
    <x v="2"/>
    <x v="7"/>
    <n v="2"/>
    <n v="1955.7"/>
    <n v="3911.4"/>
    <s v="Single"/>
    <x v="1"/>
    <s v="shipped"/>
  </r>
  <r>
    <n v="202400249"/>
    <x v="208"/>
    <n v="2024"/>
    <x v="2"/>
    <n v="3"/>
    <x v="57"/>
    <s v="Emma Johnson"/>
    <x v="1"/>
    <s v="Netherlands"/>
    <x v="0"/>
    <x v="5"/>
    <n v="2"/>
    <n v="1304.45"/>
    <n v="2608.9"/>
    <s v="Single"/>
    <x v="1"/>
    <s v="completed"/>
  </r>
  <r>
    <n v="202400308"/>
    <x v="33"/>
    <n v="2024"/>
    <x v="3"/>
    <n v="8"/>
    <x v="67"/>
    <s v="Nora Chen"/>
    <x v="3"/>
    <s v="UK"/>
    <x v="0"/>
    <x v="2"/>
    <n v="4"/>
    <n v="929.29"/>
    <n v="3717.16"/>
    <s v="Medium"/>
    <x v="2"/>
    <s v="completed"/>
  </r>
  <r>
    <n v="202400781"/>
    <x v="202"/>
    <n v="2024"/>
    <x v="3"/>
    <n v="7"/>
    <x v="41"/>
    <s v="Sophie Garcia"/>
    <x v="1"/>
    <s v="USA"/>
    <x v="2"/>
    <x v="6"/>
    <n v="3"/>
    <n v="158.62"/>
    <n v="475.86"/>
    <s v="Medium"/>
    <x v="1"/>
    <s v="cancelled"/>
  </r>
  <r>
    <n v="202400739"/>
    <x v="97"/>
    <n v="2024"/>
    <x v="1"/>
    <n v="4"/>
    <x v="25"/>
    <s v="Sophie Martin"/>
    <x v="3"/>
    <s v="Canada"/>
    <x v="2"/>
    <x v="7"/>
    <n v="9"/>
    <n v="1472.05"/>
    <n v="13248.449999999999"/>
    <s v="Medium"/>
    <x v="1"/>
    <s v="completed"/>
  </r>
  <r>
    <n v="202400347"/>
    <x v="35"/>
    <n v="2024"/>
    <x v="2"/>
    <n v="1"/>
    <x v="23"/>
    <s v="David Martin"/>
    <x v="2"/>
    <s v="Canada"/>
    <x v="2"/>
    <x v="1"/>
    <n v="6"/>
    <n v="32.479999999999997"/>
    <n v="194.88"/>
    <s v="Medium"/>
    <x v="1"/>
    <s v="completed"/>
  </r>
  <r>
    <n v="202400335"/>
    <x v="117"/>
    <n v="2024"/>
    <x v="3"/>
    <n v="7"/>
    <x v="11"/>
    <s v="Paul Martin"/>
    <x v="0"/>
    <s v="Spain"/>
    <x v="0"/>
    <x v="5"/>
    <n v="7"/>
    <n v="1679.61"/>
    <n v="11757.269999999999"/>
    <s v="Medium"/>
    <x v="3"/>
    <s v="completed"/>
  </r>
  <r>
    <n v="202400286"/>
    <x v="84"/>
    <n v="2024"/>
    <x v="0"/>
    <n v="11"/>
    <x v="54"/>
    <s v="James Brown"/>
    <x v="0"/>
    <s v="France"/>
    <x v="0"/>
    <x v="10"/>
    <n v="4"/>
    <n v="706.15"/>
    <n v="2824.6"/>
    <s v="Medium"/>
    <x v="1"/>
    <s v="refunded"/>
  </r>
  <r>
    <n v="202400972"/>
    <x v="20"/>
    <n v="2024"/>
    <x v="2"/>
    <n v="3"/>
    <x v="35"/>
    <s v="John Rodriguez"/>
    <x v="2"/>
    <s v="USA"/>
    <x v="2"/>
    <x v="6"/>
    <n v="5"/>
    <n v="474.89"/>
    <n v="2374.4499999999998"/>
    <s v="Medium"/>
    <x v="2"/>
    <s v="completed"/>
  </r>
  <r>
    <n v="202400098"/>
    <x v="256"/>
    <n v="2024"/>
    <x v="0"/>
    <n v="10"/>
    <x v="30"/>
    <s v="Anna Dupont"/>
    <x v="3"/>
    <s v="Brazil"/>
    <x v="1"/>
    <x v="14"/>
    <n v="5"/>
    <n v="519.80999999999995"/>
    <n v="2599.0499999999997"/>
    <s v="Medium"/>
    <x v="2"/>
    <s v="completed"/>
  </r>
  <r>
    <n v="202400627"/>
    <x v="13"/>
    <n v="2024"/>
    <x v="1"/>
    <n v="6"/>
    <x v="13"/>
    <s v="Nora Brown"/>
    <x v="3"/>
    <s v="Italy"/>
    <x v="0"/>
    <x v="9"/>
    <n v="11"/>
    <n v="540.95000000000005"/>
    <n v="5950.4500000000007"/>
    <s v="Bulk"/>
    <x v="3"/>
    <s v="completed"/>
  </r>
  <r>
    <n v="202401048"/>
    <x v="257"/>
    <n v="2024"/>
    <x v="0"/>
    <n v="10"/>
    <x v="63"/>
    <s v="Lucas Chen"/>
    <x v="1"/>
    <s v="Italy"/>
    <x v="0"/>
    <x v="2"/>
    <n v="11"/>
    <n v="1262.07"/>
    <n v="13882.769999999999"/>
    <s v="Bulk"/>
    <x v="1"/>
    <s v="completed"/>
  </r>
  <r>
    <n v="202400934"/>
    <x v="258"/>
    <n v="2024"/>
    <x v="0"/>
    <n v="12"/>
    <x v="69"/>
    <s v="Pierre Rossi"/>
    <x v="3"/>
    <s v="Germany"/>
    <x v="0"/>
    <x v="2"/>
    <n v="4"/>
    <n v="1433.28"/>
    <n v="5733.12"/>
    <s v="Medium"/>
    <x v="3"/>
    <s v="cancelled"/>
  </r>
  <r>
    <n v="202400711"/>
    <x v="6"/>
    <n v="2024"/>
    <x v="3"/>
    <n v="9"/>
    <x v="2"/>
    <s v="John Wilson"/>
    <x v="0"/>
    <s v="Mexico"/>
    <x v="1"/>
    <x v="14"/>
    <n v="5"/>
    <n v="379.03"/>
    <n v="1895.1499999999999"/>
    <s v="Medium"/>
    <x v="1"/>
    <s v="completed"/>
  </r>
  <r>
    <n v="202400840"/>
    <x v="195"/>
    <n v="2024"/>
    <x v="2"/>
    <n v="1"/>
    <x v="29"/>
    <s v="Nora Tanaka"/>
    <x v="3"/>
    <s v="Canada"/>
    <x v="2"/>
    <x v="14"/>
    <n v="11"/>
    <n v="1113.99"/>
    <n v="12253.89"/>
    <s v="Bulk"/>
    <x v="1"/>
    <s v="completed"/>
  </r>
  <r>
    <n v="202400629"/>
    <x v="184"/>
    <n v="2024"/>
    <x v="3"/>
    <n v="9"/>
    <x v="2"/>
    <s v="John Wilson"/>
    <x v="0"/>
    <s v="Mexico"/>
    <x v="1"/>
    <x v="0"/>
    <n v="14"/>
    <n v="1873.43"/>
    <n v="26228.02"/>
    <s v="Bulk"/>
    <x v="2"/>
    <s v="cancelled"/>
  </r>
  <r>
    <n v="202400820"/>
    <x v="5"/>
    <n v="2024"/>
    <x v="0"/>
    <n v="10"/>
    <x v="25"/>
    <s v="Sophie Martin"/>
    <x v="3"/>
    <s v="Canada"/>
    <x v="2"/>
    <x v="0"/>
    <n v="5"/>
    <n v="843.02"/>
    <n v="4215.1000000000004"/>
    <s v="Medium"/>
    <x v="3"/>
    <s v="completed"/>
  </r>
  <r>
    <n v="202400775"/>
    <x v="29"/>
    <n v="2024"/>
    <x v="0"/>
    <n v="10"/>
    <x v="42"/>
    <s v="Lisa Martin"/>
    <x v="0"/>
    <s v="Mexico"/>
    <x v="1"/>
    <x v="4"/>
    <n v="13"/>
    <n v="781.66"/>
    <n v="10161.58"/>
    <s v="Bulk"/>
    <x v="2"/>
    <s v="shipped"/>
  </r>
  <r>
    <n v="202400971"/>
    <x v="58"/>
    <n v="2024"/>
    <x v="3"/>
    <n v="9"/>
    <x v="33"/>
    <s v="Sarah Rodriguez"/>
    <x v="0"/>
    <s v="Australia"/>
    <x v="3"/>
    <x v="9"/>
    <n v="3"/>
    <n v="460.99"/>
    <n v="1382.97"/>
    <s v="Medium"/>
    <x v="1"/>
    <s v="pending"/>
  </r>
  <r>
    <n v="202400066"/>
    <x v="259"/>
    <n v="2024"/>
    <x v="1"/>
    <n v="5"/>
    <x v="61"/>
    <s v="Anna Dupont"/>
    <x v="0"/>
    <s v="Brazil"/>
    <x v="1"/>
    <x v="9"/>
    <n v="5"/>
    <n v="1827.9"/>
    <n v="9139.5"/>
    <s v="Medium"/>
    <x v="1"/>
    <s v="pending"/>
  </r>
  <r>
    <n v="202401008"/>
    <x v="221"/>
    <n v="2024"/>
    <x v="2"/>
    <n v="1"/>
    <x v="71"/>
    <s v="Carlos Dupont"/>
    <x v="0"/>
    <s v="Netherlands"/>
    <x v="0"/>
    <x v="10"/>
    <n v="10"/>
    <n v="672.56"/>
    <n v="6725.5999999999995"/>
    <s v="Bulk"/>
    <x v="1"/>
    <s v="completed"/>
  </r>
  <r>
    <n v="202400761"/>
    <x v="9"/>
    <n v="2024"/>
    <x v="2"/>
    <n v="1"/>
    <x v="34"/>
    <s v="Anna Garcia"/>
    <x v="0"/>
    <s v="Germany"/>
    <x v="0"/>
    <x v="7"/>
    <n v="5"/>
    <n v="1470.5"/>
    <n v="7352.5"/>
    <s v="Medium"/>
    <x v="3"/>
    <s v="refunded"/>
  </r>
  <r>
    <n v="202400583"/>
    <x v="260"/>
    <n v="2024"/>
    <x v="0"/>
    <n v="12"/>
    <x v="36"/>
    <s v="Lisa Chen"/>
    <x v="0"/>
    <s v="France"/>
    <x v="0"/>
    <x v="13"/>
    <n v="3"/>
    <n v="601.47"/>
    <n v="1804.41"/>
    <s v="Medium"/>
    <x v="1"/>
    <s v="completed"/>
  </r>
  <r>
    <n v="202401095"/>
    <x v="261"/>
    <n v="2024"/>
    <x v="1"/>
    <n v="5"/>
    <x v="70"/>
    <s v="David Smith"/>
    <x v="0"/>
    <s v="Canada"/>
    <x v="2"/>
    <x v="8"/>
    <n v="13"/>
    <n v="1664.44"/>
    <n v="21637.72"/>
    <s v="Bulk"/>
    <x v="0"/>
    <s v="completed"/>
  </r>
  <r>
    <n v="202401110"/>
    <x v="134"/>
    <n v="2024"/>
    <x v="3"/>
    <n v="7"/>
    <x v="50"/>
    <s v="Marie Chen"/>
    <x v="3"/>
    <s v="France"/>
    <x v="0"/>
    <x v="12"/>
    <n v="3"/>
    <n v="890.9"/>
    <n v="2672.7"/>
    <s v="Medium"/>
    <x v="0"/>
    <s v="pending "/>
  </r>
  <r>
    <n v="202400303"/>
    <x v="59"/>
    <n v="2024"/>
    <x v="1"/>
    <n v="4"/>
    <x v="37"/>
    <s v="Pierre Smith"/>
    <x v="0"/>
    <s v="Australia"/>
    <x v="3"/>
    <x v="14"/>
    <n v="9"/>
    <n v="164.1"/>
    <n v="1476.8999999999999"/>
    <s v="Medium"/>
    <x v="1"/>
    <s v="completed"/>
  </r>
  <r>
    <n v="202400255"/>
    <x v="262"/>
    <n v="2024"/>
    <x v="1"/>
    <n v="6"/>
    <x v="67"/>
    <s v="Nora Chen"/>
    <x v="3"/>
    <s v="UK"/>
    <x v="0"/>
    <x v="6"/>
    <n v="1"/>
    <n v="1899.56"/>
    <n v="1899.56"/>
    <s v="Single"/>
    <x v="2"/>
    <s v="completed"/>
  </r>
  <r>
    <n v="202400981"/>
    <x v="100"/>
    <n v="2024"/>
    <x v="3"/>
    <n v="8"/>
    <x v="63"/>
    <s v="Lucas Chen"/>
    <x v="1"/>
    <s v="Italy"/>
    <x v="0"/>
    <x v="7"/>
    <n v="12"/>
    <n v="434.03"/>
    <n v="5208.3599999999997"/>
    <s v="Bulk"/>
    <x v="1"/>
    <s v="completed"/>
  </r>
  <r>
    <n v="202400953"/>
    <x v="16"/>
    <n v="2024"/>
    <x v="3"/>
    <n v="7"/>
    <x v="39"/>
    <s v="John Chen"/>
    <x v="2"/>
    <s v="Germany"/>
    <x v="0"/>
    <x v="0"/>
    <n v="7"/>
    <n v="1046.82"/>
    <n v="7327.74"/>
    <s v="Medium"/>
    <x v="2"/>
    <s v="shipped"/>
  </r>
  <r>
    <n v="202400313"/>
    <x v="199"/>
    <n v="2024"/>
    <x v="1"/>
    <n v="6"/>
    <x v="9"/>
    <s v="Maria Martin"/>
    <x v="1"/>
    <s v="Germany"/>
    <x v="0"/>
    <x v="7"/>
    <n v="7"/>
    <n v="1436.6"/>
    <n v="10056.199999999999"/>
    <s v="Medium"/>
    <x v="2"/>
    <s v="completed"/>
  </r>
  <r>
    <n v="202400543"/>
    <x v="263"/>
    <n v="2024"/>
    <x v="0"/>
    <n v="10"/>
    <x v="78"/>
    <s v="Emma Smith"/>
    <x v="0"/>
    <s v="Mexico"/>
    <x v="1"/>
    <x v="12"/>
    <n v="4"/>
    <n v="1446.37"/>
    <n v="5785.48"/>
    <s v="Medium"/>
    <x v="2"/>
    <s v="shipped"/>
  </r>
  <r>
    <n v="202400222"/>
    <x v="27"/>
    <n v="2024"/>
    <x v="1"/>
    <n v="6"/>
    <x v="28"/>
    <s v="Julia Nilsson"/>
    <x v="3"/>
    <s v="Brazil"/>
    <x v="1"/>
    <x v="13"/>
    <n v="12"/>
    <n v="804.61"/>
    <n v="9655.32"/>
    <s v="Bulk"/>
    <x v="1"/>
    <s v="refunded"/>
  </r>
  <r>
    <n v="202400478"/>
    <x v="263"/>
    <n v="2024"/>
    <x v="0"/>
    <n v="10"/>
    <x v="71"/>
    <s v="Carlos Dupont"/>
    <x v="0"/>
    <s v="Netherlands"/>
    <x v="0"/>
    <x v="2"/>
    <n v="3"/>
    <n v="1918.87"/>
    <n v="5756.61"/>
    <s v="Medium"/>
    <x v="1"/>
    <s v="completed"/>
  </r>
  <r>
    <n v="202400389"/>
    <x v="150"/>
    <n v="2024"/>
    <x v="2"/>
    <n v="1"/>
    <x v="49"/>
    <s v="Marie Smith"/>
    <x v="1"/>
    <s v="Netherlands"/>
    <x v="0"/>
    <x v="10"/>
    <n v="12"/>
    <n v="1818.87"/>
    <n v="21826.44"/>
    <s v="Bulk"/>
    <x v="1"/>
    <s v="refunded"/>
  </r>
  <r>
    <n v="202400860"/>
    <x v="155"/>
    <n v="2024"/>
    <x v="0"/>
    <n v="10"/>
    <x v="30"/>
    <s v="Anna Dupont"/>
    <x v="3"/>
    <s v="Brazil"/>
    <x v="1"/>
    <x v="7"/>
    <n v="10"/>
    <n v="1606.34"/>
    <n v="16063.4"/>
    <s v="Bulk"/>
    <x v="0"/>
    <s v="shipped"/>
  </r>
  <r>
    <n v="202400984"/>
    <x v="173"/>
    <n v="2024"/>
    <x v="3"/>
    <n v="8"/>
    <x v="59"/>
    <s v="Anna Nilsson"/>
    <x v="1"/>
    <s v="Spain"/>
    <x v="0"/>
    <x v="0"/>
    <n v="7"/>
    <n v="125.79"/>
    <n v="880.53000000000009"/>
    <s v="Medium"/>
    <x v="2"/>
    <s v="completed"/>
  </r>
  <r>
    <n v="202401055"/>
    <x v="132"/>
    <n v="2024"/>
    <x v="1"/>
    <n v="5"/>
    <x v="6"/>
    <s v="Anna Johnson"/>
    <x v="0"/>
    <s v="Germany"/>
    <x v="0"/>
    <x v="14"/>
    <n v="7"/>
    <n v="456.32"/>
    <n v="3194.24"/>
    <s v="Medium"/>
    <x v="0"/>
    <s v="completed"/>
  </r>
  <r>
    <n v="202400306"/>
    <x v="216"/>
    <n v="2024"/>
    <x v="0"/>
    <n v="12"/>
    <x v="45"/>
    <s v="Pierre Wilson"/>
    <x v="3"/>
    <s v="Australia"/>
    <x v="3"/>
    <x v="5"/>
    <n v="3"/>
    <n v="582.88"/>
    <n v="1748.6399999999999"/>
    <s v="Medium"/>
    <x v="3"/>
    <s v="completed"/>
  </r>
  <r>
    <n v="202401122"/>
    <x v="264"/>
    <n v="2024"/>
    <x v="2"/>
    <n v="3"/>
    <x v="9"/>
    <s v="Maria Martin"/>
    <x v="1"/>
    <s v="Germany"/>
    <x v="0"/>
    <x v="2"/>
    <n v="6"/>
    <n v="1264.23"/>
    <n v="7585.38"/>
    <s v="Medium"/>
    <x v="2"/>
    <s v="pending "/>
  </r>
  <r>
    <n v="202400808"/>
    <x v="236"/>
    <n v="2024"/>
    <x v="0"/>
    <n v="11"/>
    <x v="32"/>
    <s v="Marie Nilsson"/>
    <x v="1"/>
    <s v="Brazil"/>
    <x v="1"/>
    <x v="2"/>
    <n v="9"/>
    <n v="1097.25"/>
    <n v="9875.25"/>
    <s v="Medium"/>
    <x v="3"/>
    <s v="cancelled"/>
  </r>
  <r>
    <n v="202400789"/>
    <x v="203"/>
    <n v="2024"/>
    <x v="3"/>
    <n v="7"/>
    <x v="31"/>
    <s v="Carlos Wilson"/>
    <x v="0"/>
    <s v="Australia"/>
    <x v="3"/>
    <x v="11"/>
    <n v="6"/>
    <n v="652.33000000000004"/>
    <n v="3913.9800000000005"/>
    <s v="Medium"/>
    <x v="2"/>
    <s v="refunded"/>
  </r>
  <r>
    <n v="202400938"/>
    <x v="193"/>
    <n v="2024"/>
    <x v="3"/>
    <n v="9"/>
    <x v="4"/>
    <s v="Maria Smith"/>
    <x v="1"/>
    <s v="Italy"/>
    <x v="0"/>
    <x v="12"/>
    <n v="10"/>
    <n v="1537.74"/>
    <n v="15377.4"/>
    <s v="Bulk"/>
    <x v="1"/>
    <s v="completed"/>
  </r>
  <r>
    <n v="202401150"/>
    <x v="265"/>
    <n v="2024"/>
    <x v="1"/>
    <n v="5"/>
    <x v="23"/>
    <s v="David Martin"/>
    <x v="2"/>
    <s v="Canada"/>
    <x v="2"/>
    <x v="3"/>
    <n v="11"/>
    <n v="503.33"/>
    <n v="5536.63"/>
    <s v="Bulk"/>
    <x v="1"/>
    <s v="pending"/>
  </r>
  <r>
    <n v="202400250"/>
    <x v="266"/>
    <n v="2024"/>
    <x v="1"/>
    <n v="6"/>
    <x v="37"/>
    <s v="Pierre Smith"/>
    <x v="0"/>
    <s v="Australia"/>
    <x v="3"/>
    <x v="10"/>
    <n v="2"/>
    <n v="1365.6"/>
    <n v="2731.2"/>
    <s v="Single"/>
    <x v="2"/>
    <s v="completed"/>
  </r>
  <r>
    <n v="202401167"/>
    <x v="267"/>
    <n v="2024"/>
    <x v="2"/>
    <n v="3"/>
    <x v="12"/>
    <s v="Nora Tanaka"/>
    <x v="3"/>
    <s v="France"/>
    <x v="0"/>
    <x v="3"/>
    <n v="3"/>
    <n v="1331.56"/>
    <n v="3994.68"/>
    <s v="Medium"/>
    <x v="1"/>
    <s v="shipped"/>
  </r>
  <r>
    <n v="202400610"/>
    <x v="37"/>
    <n v="2024"/>
    <x v="3"/>
    <n v="9"/>
    <x v="53"/>
    <s v="Nora Muller"/>
    <x v="3"/>
    <s v="USA"/>
    <x v="2"/>
    <x v="0"/>
    <n v="10"/>
    <n v="1492.23"/>
    <n v="14922.3"/>
    <s v="Bulk"/>
    <x v="1"/>
    <s v="completed"/>
  </r>
  <r>
    <n v="202400072"/>
    <x v="266"/>
    <n v="2024"/>
    <x v="1"/>
    <n v="6"/>
    <x v="58"/>
    <s v="Carlos Nilsson"/>
    <x v="0"/>
    <s v="Germany"/>
    <x v="0"/>
    <x v="8"/>
    <n v="4"/>
    <n v="398.47"/>
    <n v="1593.88"/>
    <s v="Medium"/>
    <x v="2"/>
    <s v="shipped"/>
  </r>
  <r>
    <n v="202400095"/>
    <x v="95"/>
    <n v="2024"/>
    <x v="2"/>
    <n v="3"/>
    <x v="21"/>
    <s v="Anna Johnson"/>
    <x v="1"/>
    <s v="Australia"/>
    <x v="3"/>
    <x v="7"/>
    <n v="6"/>
    <n v="1554.49"/>
    <n v="9326.94"/>
    <s v="Medium"/>
    <x v="1"/>
    <s v="refunded"/>
  </r>
  <r>
    <n v="202400788"/>
    <x v="268"/>
    <n v="2024"/>
    <x v="0"/>
    <n v="11"/>
    <x v="25"/>
    <s v="Sophie Martin"/>
    <x v="3"/>
    <s v="Canada"/>
    <x v="2"/>
    <x v="12"/>
    <n v="11"/>
    <n v="1590.5"/>
    <n v="17495.5"/>
    <s v="Bulk"/>
    <x v="0"/>
    <s v="completed"/>
  </r>
  <r>
    <n v="202400034"/>
    <x v="199"/>
    <n v="2024"/>
    <x v="1"/>
    <n v="6"/>
    <x v="9"/>
    <s v="Maria Martin"/>
    <x v="1"/>
    <s v="Germany"/>
    <x v="0"/>
    <x v="12"/>
    <n v="2"/>
    <n v="1498.25"/>
    <n v="2996.5"/>
    <s v="Single"/>
    <x v="2"/>
    <s v="cancelled"/>
  </r>
  <r>
    <n v="202401078"/>
    <x v="86"/>
    <n v="2024"/>
    <x v="3"/>
    <n v="8"/>
    <x v="62"/>
    <s v="Paul Dupont"/>
    <x v="2"/>
    <s v="Netherlands"/>
    <x v="0"/>
    <x v="1"/>
    <n v="11"/>
    <n v="1753.03"/>
    <n v="19283.329999999998"/>
    <s v="Bulk"/>
    <x v="3"/>
    <s v="shipped"/>
  </r>
  <r>
    <n v="202400786"/>
    <x v="251"/>
    <n v="2024"/>
    <x v="0"/>
    <n v="12"/>
    <x v="53"/>
    <s v="Nora Muller"/>
    <x v="3"/>
    <s v="USA"/>
    <x v="2"/>
    <x v="5"/>
    <n v="4"/>
    <n v="562.42999999999995"/>
    <n v="2249.7199999999998"/>
    <s v="Medium"/>
    <x v="2"/>
    <s v="completed"/>
  </r>
  <r>
    <n v="202400594"/>
    <x v="162"/>
    <n v="2024"/>
    <x v="1"/>
    <n v="5"/>
    <x v="53"/>
    <s v="Nora Muller"/>
    <x v="3"/>
    <s v="USA"/>
    <x v="2"/>
    <x v="13"/>
    <n v="9"/>
    <n v="78.25"/>
    <n v="704.25"/>
    <s v="Medium"/>
    <x v="3"/>
    <s v="shipped"/>
  </r>
  <r>
    <n v="202400449"/>
    <x v="269"/>
    <n v="2024"/>
    <x v="0"/>
    <n v="11"/>
    <x v="49"/>
    <s v="Marie Smith"/>
    <x v="1"/>
    <s v="Netherlands"/>
    <x v="0"/>
    <x v="13"/>
    <n v="6"/>
    <n v="1454.39"/>
    <n v="8726.34"/>
    <s v="Medium"/>
    <x v="3"/>
    <s v="completed"/>
  </r>
  <r>
    <n v="202400446"/>
    <x v="270"/>
    <n v="2024"/>
    <x v="1"/>
    <n v="5"/>
    <x v="32"/>
    <s v="Marie Nilsson"/>
    <x v="1"/>
    <s v="Brazil"/>
    <x v="1"/>
    <x v="10"/>
    <n v="2"/>
    <n v="1824.77"/>
    <n v="3649.54"/>
    <s v="Single"/>
    <x v="1"/>
    <s v="refunded"/>
  </r>
  <r>
    <n v="202400842"/>
    <x v="12"/>
    <n v="2024"/>
    <x v="0"/>
    <n v="10"/>
    <x v="72"/>
    <s v="Sophie Brown"/>
    <x v="1"/>
    <s v="Australia"/>
    <x v="3"/>
    <x v="13"/>
    <n v="11"/>
    <n v="953.1"/>
    <n v="10484.1"/>
    <s v="Bulk"/>
    <x v="1"/>
    <s v="cancelled"/>
  </r>
  <r>
    <n v="202401198"/>
    <x v="185"/>
    <n v="2024"/>
    <x v="3"/>
    <n v="8"/>
    <x v="51"/>
    <s v="David Rodriguez"/>
    <x v="1"/>
    <s v="Netherlands"/>
    <x v="0"/>
    <x v="6"/>
    <n v="7"/>
    <n v="1928.99"/>
    <n v="13502.93"/>
    <s v="Medium"/>
    <x v="1"/>
    <s v="pending"/>
  </r>
  <r>
    <n v="202401062"/>
    <x v="239"/>
    <n v="2024"/>
    <x v="1"/>
    <n v="6"/>
    <x v="8"/>
    <s v="Julia Johnson"/>
    <x v="2"/>
    <s v="France"/>
    <x v="0"/>
    <x v="10"/>
    <n v="2"/>
    <n v="353.96"/>
    <n v="707.92"/>
    <s v="Single"/>
    <x v="1"/>
    <s v="cancelled"/>
  </r>
  <r>
    <n v="202400078"/>
    <x v="214"/>
    <n v="2024"/>
    <x v="3"/>
    <n v="8"/>
    <x v="61"/>
    <s v="Anna Dupont"/>
    <x v="0"/>
    <s v="Brazil"/>
    <x v="1"/>
    <x v="2"/>
    <n v="2"/>
    <n v="1362.47"/>
    <n v="2724.94"/>
    <s v="Single"/>
    <x v="2"/>
    <s v="shipped"/>
  </r>
  <r>
    <n v="202400085"/>
    <x v="164"/>
    <n v="2024"/>
    <x v="3"/>
    <n v="8"/>
    <x v="75"/>
    <s v="Maria Muller"/>
    <x v="2"/>
    <s v="Australia"/>
    <x v="3"/>
    <x v="9"/>
    <n v="9"/>
    <n v="1695.38"/>
    <n v="15258.420000000002"/>
    <s v="Medium"/>
    <x v="3"/>
    <s v="completed"/>
  </r>
  <r>
    <n v="202400553"/>
    <x v="271"/>
    <n v="2024"/>
    <x v="0"/>
    <n v="11"/>
    <x v="50"/>
    <s v="Marie Chen"/>
    <x v="3"/>
    <s v="France"/>
    <x v="0"/>
    <x v="0"/>
    <n v="8"/>
    <n v="827.27"/>
    <n v="6618.16"/>
    <s v="Medium"/>
    <x v="2"/>
    <s v="completed"/>
  </r>
  <r>
    <n v="202400083"/>
    <x v="132"/>
    <n v="2024"/>
    <x v="1"/>
    <n v="5"/>
    <x v="46"/>
    <s v="Marie Martin"/>
    <x v="3"/>
    <s v="Canada"/>
    <x v="2"/>
    <x v="2"/>
    <n v="4"/>
    <n v="505.64"/>
    <n v="2022.56"/>
    <s v="Medium"/>
    <x v="1"/>
    <s v="pending"/>
  </r>
  <r>
    <n v="202400458"/>
    <x v="233"/>
    <n v="2024"/>
    <x v="0"/>
    <n v="12"/>
    <x v="49"/>
    <s v="Marie Smith"/>
    <x v="1"/>
    <s v="Netherlands"/>
    <x v="0"/>
    <x v="5"/>
    <n v="3"/>
    <n v="1458.45"/>
    <n v="4375.3500000000004"/>
    <s v="Medium"/>
    <x v="2"/>
    <s v="cancelled"/>
  </r>
  <r>
    <n v="202400754"/>
    <x v="194"/>
    <n v="2024"/>
    <x v="1"/>
    <n v="5"/>
    <x v="4"/>
    <s v="Maria Smith"/>
    <x v="1"/>
    <s v="Italy"/>
    <x v="0"/>
    <x v="13"/>
    <n v="4"/>
    <n v="668.33"/>
    <n v="2673.32"/>
    <s v="Medium"/>
    <x v="0"/>
    <s v="completed"/>
  </r>
  <r>
    <n v="202400437"/>
    <x v="55"/>
    <n v="2024"/>
    <x v="2"/>
    <n v="3"/>
    <x v="71"/>
    <s v="Carlos Dupont"/>
    <x v="0"/>
    <s v="Netherlands"/>
    <x v="0"/>
    <x v="0"/>
    <n v="13"/>
    <n v="741.74"/>
    <n v="9642.6200000000008"/>
    <s v="Bulk"/>
    <x v="1"/>
    <s v="completed"/>
  </r>
  <r>
    <n v="202401109"/>
    <x v="1"/>
    <n v="2024"/>
    <x v="0"/>
    <n v="10"/>
    <x v="68"/>
    <s v="Nora Rodriguez"/>
    <x v="0"/>
    <s v="Mexico"/>
    <x v="1"/>
    <x v="12"/>
    <n v="3"/>
    <n v="267.02"/>
    <n v="801.06"/>
    <s v="Medium"/>
    <x v="1"/>
    <s v="cancelled"/>
  </r>
  <r>
    <n v="202400911"/>
    <x v="272"/>
    <n v="2024"/>
    <x v="3"/>
    <n v="9"/>
    <x v="47"/>
    <s v="Pierre Brown"/>
    <x v="0"/>
    <s v="Japan"/>
    <x v="3"/>
    <x v="3"/>
    <n v="0"/>
    <n v="1360.75"/>
    <n v="0"/>
    <s v="Single"/>
    <x v="3"/>
    <s v="pending "/>
  </r>
  <r>
    <n v="202400405"/>
    <x v="155"/>
    <n v="2024"/>
    <x v="0"/>
    <n v="10"/>
    <x v="16"/>
    <s v="Sophie Tanaka"/>
    <x v="3"/>
    <s v="Australia"/>
    <x v="3"/>
    <x v="1"/>
    <n v="12"/>
    <n v="96.14"/>
    <n v="1153.68"/>
    <s v="Bulk"/>
    <x v="1"/>
    <s v="pending"/>
  </r>
  <r>
    <n v="202401056"/>
    <x v="273"/>
    <n v="2024"/>
    <x v="0"/>
    <n v="11"/>
    <x v="48"/>
    <s v="Paul Leclerc"/>
    <x v="3"/>
    <s v="Australia"/>
    <x v="3"/>
    <x v="14"/>
    <n v="11"/>
    <n v="1517.8"/>
    <n v="16695.8"/>
    <s v="Bulk"/>
    <x v="2"/>
    <s v="pending"/>
  </r>
  <r>
    <n v="202400623"/>
    <x v="235"/>
    <n v="2024"/>
    <x v="2"/>
    <n v="3"/>
    <x v="32"/>
    <s v="Marie Nilsson"/>
    <x v="1"/>
    <s v="Brazil"/>
    <x v="1"/>
    <x v="1"/>
    <n v="3"/>
    <n v="480.22"/>
    <n v="1440.66"/>
    <s v="Medium"/>
    <x v="3"/>
    <s v="cancelled"/>
  </r>
  <r>
    <n v="202401174"/>
    <x v="39"/>
    <n v="2024"/>
    <x v="1"/>
    <n v="5"/>
    <x v="15"/>
    <s v="Anna Muller"/>
    <x v="1"/>
    <s v="Germany"/>
    <x v="0"/>
    <x v="6"/>
    <n v="3"/>
    <n v="1061.55"/>
    <n v="3184.6499999999996"/>
    <s v="Medium"/>
    <x v="2"/>
    <s v="shipped"/>
  </r>
  <r>
    <n v="202400105"/>
    <x v="274"/>
    <n v="2024"/>
    <x v="0"/>
    <n v="11"/>
    <x v="22"/>
    <s v="Nora Muller"/>
    <x v="0"/>
    <s v="Japan"/>
    <x v="3"/>
    <x v="7"/>
    <n v="1"/>
    <n v="337.7"/>
    <n v="337.7"/>
    <s v="Single"/>
    <x v="3"/>
    <s v="pending"/>
  </r>
  <r>
    <n v="202400760"/>
    <x v="52"/>
    <n v="2024"/>
    <x v="2"/>
    <n v="2"/>
    <x v="42"/>
    <s v="Lisa Martin"/>
    <x v="0"/>
    <s v="Mexico"/>
    <x v="1"/>
    <x v="4"/>
    <n v="10"/>
    <n v="731.33"/>
    <n v="7313.3"/>
    <s v="Bulk"/>
    <x v="3"/>
    <s v="completed"/>
  </r>
  <r>
    <n v="202400621"/>
    <x v="248"/>
    <n v="2024"/>
    <x v="2"/>
    <n v="1"/>
    <x v="67"/>
    <s v="Nora Chen"/>
    <x v="3"/>
    <s v="UK"/>
    <x v="0"/>
    <x v="1"/>
    <n v="2"/>
    <n v="1578.29"/>
    <n v="3156.58"/>
    <s v="Single"/>
    <x v="2"/>
    <s v="completed"/>
  </r>
  <r>
    <n v="202400063"/>
    <x v="275"/>
    <n v="2024"/>
    <x v="1"/>
    <n v="4"/>
    <x v="2"/>
    <s v="John Wilson"/>
    <x v="0"/>
    <s v="Mexico"/>
    <x v="1"/>
    <x v="4"/>
    <n v="8"/>
    <n v="1126.1500000000001"/>
    <n v="9009.2000000000007"/>
    <s v="Medium"/>
    <x v="2"/>
    <s v="pending"/>
  </r>
  <r>
    <n v="202400282"/>
    <x v="124"/>
    <n v="2024"/>
    <x v="0"/>
    <n v="12"/>
    <x v="77"/>
    <s v="Maria Smith"/>
    <x v="2"/>
    <s v="Australia"/>
    <x v="3"/>
    <x v="9"/>
    <n v="6"/>
    <n v="692.31"/>
    <n v="4153.8599999999997"/>
    <s v="Medium"/>
    <x v="2"/>
    <s v="completed"/>
  </r>
  <r>
    <n v="202400679"/>
    <x v="123"/>
    <n v="2024"/>
    <x v="0"/>
    <n v="12"/>
    <x v="77"/>
    <s v="Maria Smith"/>
    <x v="2"/>
    <s v="Australia"/>
    <x v="3"/>
    <x v="3"/>
    <n v="2"/>
    <n v="665.66"/>
    <n v="1331.32"/>
    <s v="Single"/>
    <x v="2"/>
    <s v="completed"/>
  </r>
  <r>
    <n v="202400239"/>
    <x v="276"/>
    <n v="2024"/>
    <x v="0"/>
    <n v="10"/>
    <x v="40"/>
    <s v="John Rossi"/>
    <x v="0"/>
    <s v="Netherlands"/>
    <x v="0"/>
    <x v="0"/>
    <n v="10"/>
    <n v="573.91"/>
    <n v="5739.0999999999995"/>
    <s v="Bulk"/>
    <x v="3"/>
    <s v="completed"/>
  </r>
  <r>
    <n v="202400224"/>
    <x v="132"/>
    <n v="2024"/>
    <x v="1"/>
    <n v="5"/>
    <x v="4"/>
    <s v="Maria Smith"/>
    <x v="1"/>
    <s v="Italy"/>
    <x v="0"/>
    <x v="4"/>
    <n v="11"/>
    <n v="1513.81"/>
    <n v="16651.91"/>
    <s v="Bulk"/>
    <x v="1"/>
    <s v="completed"/>
  </r>
  <r>
    <n v="202400146"/>
    <x v="135"/>
    <n v="2024"/>
    <x v="2"/>
    <n v="1"/>
    <x v="3"/>
    <s v="Carlos Tanaka"/>
    <x v="2"/>
    <s v="Italy"/>
    <x v="0"/>
    <x v="4"/>
    <n v="5"/>
    <n v="283.64"/>
    <n v="1418.1999999999998"/>
    <s v="Medium"/>
    <x v="1"/>
    <s v="completed"/>
  </r>
  <r>
    <n v="202401154"/>
    <x v="235"/>
    <n v="2024"/>
    <x v="2"/>
    <n v="3"/>
    <x v="66"/>
    <s v="Sarah Leclerc"/>
    <x v="3"/>
    <s v="Germany"/>
    <x v="0"/>
    <x v="7"/>
    <n v="13"/>
    <n v="1059.18"/>
    <n v="13769.34"/>
    <s v="Bulk"/>
    <x v="2"/>
    <s v="completed"/>
  </r>
  <r>
    <n v="202400374"/>
    <x v="164"/>
    <n v="2024"/>
    <x v="3"/>
    <n v="8"/>
    <x v="75"/>
    <s v="Maria Muller"/>
    <x v="2"/>
    <s v="Australia"/>
    <x v="3"/>
    <x v="0"/>
    <n v="12"/>
    <n v="1750.41"/>
    <n v="21004.920000000002"/>
    <s v="Bulk"/>
    <x v="2"/>
    <s v="completed"/>
  </r>
  <r>
    <n v="202400119"/>
    <x v="217"/>
    <n v="2024"/>
    <x v="3"/>
    <n v="7"/>
    <x v="15"/>
    <s v="Anna Muller"/>
    <x v="1"/>
    <s v="Germany"/>
    <x v="0"/>
    <x v="0"/>
    <n v="13"/>
    <n v="1688.72"/>
    <n v="21953.360000000001"/>
    <s v="Bulk"/>
    <x v="2"/>
    <s v="pending"/>
  </r>
  <r>
    <n v="202400821"/>
    <x v="229"/>
    <n v="2024"/>
    <x v="2"/>
    <n v="2"/>
    <x v="51"/>
    <s v="David Rodriguez"/>
    <x v="1"/>
    <s v="Netherlands"/>
    <x v="0"/>
    <x v="4"/>
    <n v="10"/>
    <n v="1414.67"/>
    <n v="14146.7"/>
    <s v="Bulk"/>
    <x v="2"/>
    <s v="completed"/>
  </r>
  <r>
    <n v="202400251"/>
    <x v="277"/>
    <n v="2024"/>
    <x v="0"/>
    <n v="11"/>
    <x v="23"/>
    <s v="David Martin"/>
    <x v="2"/>
    <s v="Canada"/>
    <x v="2"/>
    <x v="3"/>
    <n v="7"/>
    <n v="1323.31"/>
    <n v="9263.17"/>
    <s v="Medium"/>
    <x v="1"/>
    <s v="completed"/>
  </r>
  <r>
    <n v="202401168"/>
    <x v="28"/>
    <n v="2024"/>
    <x v="1"/>
    <n v="5"/>
    <x v="9"/>
    <s v="Maria Martin"/>
    <x v="1"/>
    <s v="Germany"/>
    <x v="0"/>
    <x v="10"/>
    <n v="5"/>
    <n v="563.73"/>
    <n v="2818.65"/>
    <s v="Medium"/>
    <x v="1"/>
    <s v="shipped"/>
  </r>
  <r>
    <n v="202400450"/>
    <x v="51"/>
    <n v="2024"/>
    <x v="3"/>
    <n v="8"/>
    <x v="30"/>
    <s v="Anna Dupont"/>
    <x v="3"/>
    <s v="Brazil"/>
    <x v="1"/>
    <x v="3"/>
    <n v="11"/>
    <n v="653.25"/>
    <n v="7185.75"/>
    <s v="Bulk"/>
    <x v="2"/>
    <s v="completed"/>
  </r>
  <r>
    <n v="202400894"/>
    <x v="278"/>
    <n v="2024"/>
    <x v="1"/>
    <n v="5"/>
    <x v="11"/>
    <s v="Paul Martin"/>
    <x v="0"/>
    <s v="Spain"/>
    <x v="0"/>
    <x v="13"/>
    <n v="0"/>
    <n v="346.02"/>
    <n v="0"/>
    <s v="Single"/>
    <x v="3"/>
    <s v="completed"/>
  </r>
  <r>
    <n v="202400390"/>
    <x v="173"/>
    <n v="2024"/>
    <x v="3"/>
    <n v="8"/>
    <x v="11"/>
    <s v="Paul Martin"/>
    <x v="0"/>
    <s v="Spain"/>
    <x v="0"/>
    <x v="10"/>
    <n v="14"/>
    <n v="705.37"/>
    <n v="9875.18"/>
    <s v="Bulk"/>
    <x v="1"/>
    <s v="completed"/>
  </r>
  <r>
    <n v="202401076"/>
    <x v="95"/>
    <n v="2024"/>
    <x v="2"/>
    <n v="3"/>
    <x v="35"/>
    <s v="John Rodriguez"/>
    <x v="2"/>
    <s v="USA"/>
    <x v="2"/>
    <x v="11"/>
    <n v="7"/>
    <n v="33.61"/>
    <n v="235.26999999999998"/>
    <s v="Medium"/>
    <x v="2"/>
    <s v="completed"/>
  </r>
  <r>
    <n v="202400922"/>
    <x v="164"/>
    <n v="2024"/>
    <x v="3"/>
    <n v="8"/>
    <x v="28"/>
    <s v="Julia Nilsson"/>
    <x v="3"/>
    <s v="Brazil"/>
    <x v="1"/>
    <x v="6"/>
    <n v="3"/>
    <n v="1054.98"/>
    <n v="3164.94"/>
    <s v="Medium"/>
    <x v="2"/>
    <s v="completed"/>
  </r>
  <r>
    <n v="202400461"/>
    <x v="198"/>
    <n v="2024"/>
    <x v="1"/>
    <n v="6"/>
    <x v="15"/>
    <s v="Anna Muller"/>
    <x v="1"/>
    <s v="Germany"/>
    <x v="0"/>
    <x v="7"/>
    <n v="12"/>
    <n v="316.02"/>
    <n v="3792.24"/>
    <s v="Bulk"/>
    <x v="2"/>
    <s v="shipped"/>
  </r>
  <r>
    <n v="202401116"/>
    <x v="279"/>
    <n v="2024"/>
    <x v="0"/>
    <n v="10"/>
    <x v="2"/>
    <s v="John Wilson"/>
    <x v="0"/>
    <s v="Mexico"/>
    <x v="1"/>
    <x v="13"/>
    <n v="6"/>
    <n v="59.67"/>
    <n v="358.02"/>
    <s v="Medium"/>
    <x v="3"/>
    <s v="pending"/>
  </r>
  <r>
    <n v="202400145"/>
    <x v="49"/>
    <n v="2024"/>
    <x v="2"/>
    <n v="2"/>
    <x v="18"/>
    <s v="Marie Tanaka"/>
    <x v="0"/>
    <s v="Brazil"/>
    <x v="1"/>
    <x v="10"/>
    <n v="14"/>
    <n v="685.54"/>
    <n v="9597.56"/>
    <s v="Bulk"/>
    <x v="2"/>
    <s v="completed"/>
  </r>
  <r>
    <n v="202400502"/>
    <x v="16"/>
    <n v="2024"/>
    <x v="3"/>
    <n v="7"/>
    <x v="67"/>
    <s v="Nora Chen"/>
    <x v="3"/>
    <s v="UK"/>
    <x v="0"/>
    <x v="5"/>
    <n v="5"/>
    <n v="624.42999999999995"/>
    <n v="3122.1499999999996"/>
    <s v="Medium"/>
    <x v="2"/>
    <s v="pending"/>
  </r>
  <r>
    <n v="202401119"/>
    <x v="10"/>
    <n v="2024"/>
    <x v="0"/>
    <n v="11"/>
    <x v="72"/>
    <s v="Sophie Brown"/>
    <x v="1"/>
    <s v="Australia"/>
    <x v="3"/>
    <x v="0"/>
    <n v="10"/>
    <n v="1556.34"/>
    <n v="15563.4"/>
    <s v="Bulk"/>
    <x v="1"/>
    <s v="completed"/>
  </r>
  <r>
    <n v="202400540"/>
    <x v="71"/>
    <n v="2024"/>
    <x v="0"/>
    <n v="11"/>
    <x v="79"/>
    <s v="Pierre Smith"/>
    <x v="0"/>
    <s v="Netherlands"/>
    <x v="0"/>
    <x v="14"/>
    <n v="2"/>
    <n v="1780.55"/>
    <n v="3561.1"/>
    <s v="Single"/>
    <x v="3"/>
    <s v="completed"/>
  </r>
  <r>
    <n v="202400178"/>
    <x v="187"/>
    <n v="2024"/>
    <x v="0"/>
    <n v="12"/>
    <x v="52"/>
    <s v="Emma Garcia"/>
    <x v="2"/>
    <s v="Mexico"/>
    <x v="1"/>
    <x v="10"/>
    <n v="2"/>
    <n v="432.37"/>
    <n v="864.74"/>
    <s v="Single"/>
    <x v="0"/>
    <s v="completed"/>
  </r>
  <r>
    <n v="202401170"/>
    <x v="280"/>
    <n v="2024"/>
    <x v="1"/>
    <n v="6"/>
    <x v="20"/>
    <s v="Lucas Rossi"/>
    <x v="0"/>
    <s v="Australia"/>
    <x v="3"/>
    <x v="1"/>
    <n v="2"/>
    <n v="244.56"/>
    <n v="489.12"/>
    <s v="Single"/>
    <x v="2"/>
    <s v="completed"/>
  </r>
  <r>
    <n v="202400716"/>
    <x v="0"/>
    <n v="2024"/>
    <x v="0"/>
    <n v="11"/>
    <x v="33"/>
    <s v="Sarah Rodriguez"/>
    <x v="0"/>
    <s v="Australia"/>
    <x v="3"/>
    <x v="8"/>
    <n v="8"/>
    <n v="550.75"/>
    <n v="4406"/>
    <s v="Medium"/>
    <x v="2"/>
    <s v="completed"/>
  </r>
  <r>
    <n v="202400599"/>
    <x v="281"/>
    <n v="2024"/>
    <x v="0"/>
    <n v="12"/>
    <x v="48"/>
    <s v="Paul Leclerc"/>
    <x v="3"/>
    <s v="Australia"/>
    <x v="3"/>
    <x v="5"/>
    <n v="2"/>
    <n v="1527.41"/>
    <n v="3054.82"/>
    <s v="Single"/>
    <x v="1"/>
    <s v="pending"/>
  </r>
  <r>
    <n v="202400008"/>
    <x v="126"/>
    <n v="2024"/>
    <x v="1"/>
    <n v="4"/>
    <x v="45"/>
    <s v="Pierre Wilson"/>
    <x v="3"/>
    <s v="Australia"/>
    <x v="3"/>
    <x v="14"/>
    <n v="3"/>
    <n v="149.96"/>
    <n v="449.88"/>
    <s v="Medium"/>
    <x v="0"/>
    <s v="completed"/>
  </r>
  <r>
    <n v="202400571"/>
    <x v="201"/>
    <n v="2024"/>
    <x v="2"/>
    <n v="1"/>
    <x v="18"/>
    <s v="Marie Tanaka"/>
    <x v="0"/>
    <s v="Brazil"/>
    <x v="1"/>
    <x v="13"/>
    <n v="6"/>
    <n v="386.75"/>
    <n v="2320.5"/>
    <s v="Medium"/>
    <x v="1"/>
    <s v="completed"/>
  </r>
  <r>
    <n v="202400862"/>
    <x v="115"/>
    <n v="2024"/>
    <x v="2"/>
    <n v="2"/>
    <x v="39"/>
    <s v="John Chen"/>
    <x v="2"/>
    <s v="Germany"/>
    <x v="0"/>
    <x v="3"/>
    <n v="6"/>
    <n v="1509.74"/>
    <n v="9058.44"/>
    <s v="Medium"/>
    <x v="2"/>
    <s v="completed"/>
  </r>
  <r>
    <n v="202400358"/>
    <x v="241"/>
    <n v="2024"/>
    <x v="1"/>
    <n v="6"/>
    <x v="31"/>
    <s v="Carlos Wilson"/>
    <x v="0"/>
    <s v="Australia"/>
    <x v="3"/>
    <x v="11"/>
    <n v="8"/>
    <n v="718.02"/>
    <n v="5744.16"/>
    <s v="Medium"/>
    <x v="2"/>
    <s v="pending"/>
  </r>
  <r>
    <n v="202400330"/>
    <x v="282"/>
    <n v="2024"/>
    <x v="2"/>
    <n v="2"/>
    <x v="54"/>
    <s v="James Brown"/>
    <x v="0"/>
    <s v="France"/>
    <x v="0"/>
    <x v="1"/>
    <n v="13"/>
    <n v="1088.03"/>
    <n v="14144.39"/>
    <s v="Bulk"/>
    <x v="1"/>
    <s v="pending"/>
  </r>
  <r>
    <n v="202400722"/>
    <x v="245"/>
    <n v="2024"/>
    <x v="3"/>
    <n v="9"/>
    <x v="63"/>
    <s v="Lucas Chen"/>
    <x v="1"/>
    <s v="Italy"/>
    <x v="0"/>
    <x v="8"/>
    <n v="6"/>
    <n v="1572.71"/>
    <n v="9436.26"/>
    <s v="Medium"/>
    <x v="1"/>
    <s v="cancelled"/>
  </r>
  <r>
    <n v="202400849"/>
    <x v="61"/>
    <n v="2024"/>
    <x v="2"/>
    <n v="2"/>
    <x v="44"/>
    <s v="Lucas Muller"/>
    <x v="1"/>
    <s v="Netherlands"/>
    <x v="0"/>
    <x v="10"/>
    <n v="8"/>
    <n v="228.52"/>
    <n v="1828.16"/>
    <s v="Medium"/>
    <x v="2"/>
    <s v="pending"/>
  </r>
  <r>
    <n v="202400259"/>
    <x v="276"/>
    <n v="2024"/>
    <x v="0"/>
    <n v="10"/>
    <x v="62"/>
    <s v="Paul Dupont"/>
    <x v="2"/>
    <s v="Netherlands"/>
    <x v="0"/>
    <x v="10"/>
    <n v="9"/>
    <n v="1337.42"/>
    <n v="12036.78"/>
    <s v="Medium"/>
    <x v="1"/>
    <s v="completed"/>
  </r>
  <r>
    <n v="202400888"/>
    <x v="283"/>
    <n v="2024"/>
    <x v="0"/>
    <n v="12"/>
    <x v="13"/>
    <s v="Nora Brown"/>
    <x v="3"/>
    <s v="Italy"/>
    <x v="0"/>
    <x v="6"/>
    <n v="2"/>
    <n v="824.04"/>
    <n v="1648.08"/>
    <s v="Single"/>
    <x v="2"/>
    <s v="completed"/>
  </r>
  <r>
    <n v="202400912"/>
    <x v="175"/>
    <n v="2024"/>
    <x v="1"/>
    <n v="5"/>
    <x v="79"/>
    <s v="Pierre Smith"/>
    <x v="0"/>
    <s v="Netherlands"/>
    <x v="0"/>
    <x v="9"/>
    <n v="7"/>
    <n v="578.48"/>
    <n v="4049.36"/>
    <s v="Medium"/>
    <x v="1"/>
    <s v="completed"/>
  </r>
  <r>
    <n v="202400890"/>
    <x v="271"/>
    <n v="2024"/>
    <x v="0"/>
    <n v="11"/>
    <x v="26"/>
    <s v="Emma Leclerc"/>
    <x v="1"/>
    <s v="Canada"/>
    <x v="2"/>
    <x v="3"/>
    <n v="4"/>
    <n v="785.3"/>
    <n v="3141.2"/>
    <s v="Medium"/>
    <x v="0"/>
    <s v="completed"/>
  </r>
  <r>
    <n v="202400616"/>
    <x v="216"/>
    <n v="2024"/>
    <x v="0"/>
    <n v="12"/>
    <x v="45"/>
    <s v="Pierre Wilson"/>
    <x v="3"/>
    <s v="Australia"/>
    <x v="3"/>
    <x v="10"/>
    <n v="2"/>
    <n v="1639.48"/>
    <n v="3278.96"/>
    <s v="Single"/>
    <x v="2"/>
    <s v="cancelled"/>
  </r>
  <r>
    <n v="202400848"/>
    <x v="194"/>
    <n v="2024"/>
    <x v="1"/>
    <n v="5"/>
    <x v="26"/>
    <s v="Emma Leclerc"/>
    <x v="1"/>
    <s v="Canada"/>
    <x v="2"/>
    <x v="9"/>
    <n v="4"/>
    <n v="1711.94"/>
    <n v="6847.76"/>
    <s v="Medium"/>
    <x v="1"/>
    <s v="completed"/>
  </r>
  <r>
    <n v="202400526"/>
    <x v="271"/>
    <n v="2024"/>
    <x v="0"/>
    <n v="11"/>
    <x v="78"/>
    <s v="Emma Smith"/>
    <x v="0"/>
    <s v="Mexico"/>
    <x v="1"/>
    <x v="4"/>
    <n v="13"/>
    <n v="617.91999999999996"/>
    <n v="8032.9599999999991"/>
    <s v="Bulk"/>
    <x v="2"/>
    <s v="completed"/>
  </r>
  <r>
    <n v="202401178"/>
    <x v="182"/>
    <n v="2024"/>
    <x v="0"/>
    <n v="12"/>
    <x v="14"/>
    <s v="Sophie Nilsson"/>
    <x v="2"/>
    <s v="Japan"/>
    <x v="3"/>
    <x v="14"/>
    <n v="2"/>
    <n v="825.97"/>
    <n v="1651.94"/>
    <s v="Single"/>
    <x v="2"/>
    <s v="completed"/>
  </r>
  <r>
    <n v="202400736"/>
    <x v="284"/>
    <n v="2024"/>
    <x v="3"/>
    <n v="8"/>
    <x v="0"/>
    <s v="Sophie Brown"/>
    <x v="0"/>
    <s v="France"/>
    <x v="0"/>
    <x v="1"/>
    <n v="5"/>
    <n v="1974.59"/>
    <n v="9872.9499999999989"/>
    <s v="Medium"/>
    <x v="2"/>
    <s v="shipped"/>
  </r>
  <r>
    <n v="202400769"/>
    <x v="92"/>
    <n v="2024"/>
    <x v="2"/>
    <n v="2"/>
    <x v="38"/>
    <s v="Nora Rodriguez"/>
    <x v="3"/>
    <s v="Germany"/>
    <x v="0"/>
    <x v="6"/>
    <n v="4"/>
    <n v="1361.14"/>
    <n v="5444.56"/>
    <s v="Medium"/>
    <x v="3"/>
    <s v="completed"/>
  </r>
  <r>
    <n v="202401152"/>
    <x v="285"/>
    <n v="2024"/>
    <x v="1"/>
    <n v="6"/>
    <x v="9"/>
    <s v="Maria Martin"/>
    <x v="1"/>
    <s v="Germany"/>
    <x v="0"/>
    <x v="4"/>
    <n v="12"/>
    <n v="654.6"/>
    <n v="7855.2000000000007"/>
    <s v="Bulk"/>
    <x v="2"/>
    <s v="completed"/>
  </r>
  <r>
    <n v="202400441"/>
    <x v="286"/>
    <n v="2024"/>
    <x v="3"/>
    <n v="7"/>
    <x v="36"/>
    <s v="Lisa Chen"/>
    <x v="0"/>
    <s v="France"/>
    <x v="0"/>
    <x v="12"/>
    <n v="3"/>
    <n v="621.32000000000005"/>
    <n v="1863.96"/>
    <s v="Medium"/>
    <x v="1"/>
    <s v="pending"/>
  </r>
  <r>
    <n v="202400532"/>
    <x v="287"/>
    <n v="2024"/>
    <x v="3"/>
    <n v="9"/>
    <x v="6"/>
    <s v="Anna Johnson"/>
    <x v="0"/>
    <s v="Germany"/>
    <x v="0"/>
    <x v="14"/>
    <n v="6"/>
    <n v="1428.79"/>
    <n v="8572.74"/>
    <s v="Medium"/>
    <x v="1"/>
    <s v="completed"/>
  </r>
  <r>
    <n v="202401044"/>
    <x v="185"/>
    <n v="2024"/>
    <x v="3"/>
    <n v="8"/>
    <x v="68"/>
    <s v="Nora Rodriguez"/>
    <x v="0"/>
    <s v="Mexico"/>
    <x v="1"/>
    <x v="0"/>
    <n v="11"/>
    <n v="1868.69"/>
    <n v="20555.59"/>
    <s v="Bulk"/>
    <x v="1"/>
    <s v="completed"/>
  </r>
  <r>
    <n v="202400229"/>
    <x v="218"/>
    <n v="2024"/>
    <x v="2"/>
    <n v="3"/>
    <x v="42"/>
    <s v="Lisa Martin"/>
    <x v="0"/>
    <s v="Mexico"/>
    <x v="1"/>
    <x v="4"/>
    <n v="12"/>
    <n v="234.9"/>
    <n v="2818.8"/>
    <s v="Bulk"/>
    <x v="2"/>
    <s v="completed"/>
  </r>
  <r>
    <n v="202401075"/>
    <x v="273"/>
    <n v="2024"/>
    <x v="0"/>
    <n v="11"/>
    <x v="30"/>
    <s v="Anna Dupont"/>
    <x v="3"/>
    <s v="Brazil"/>
    <x v="1"/>
    <x v="5"/>
    <n v="8"/>
    <n v="1410.2"/>
    <n v="11281.6"/>
    <s v="Medium"/>
    <x v="2"/>
    <s v="completed"/>
  </r>
  <r>
    <n v="202400213"/>
    <x v="83"/>
    <n v="2024"/>
    <x v="2"/>
    <n v="2"/>
    <x v="42"/>
    <s v="Lisa Martin"/>
    <x v="0"/>
    <s v="Mexico"/>
    <x v="1"/>
    <x v="6"/>
    <n v="2"/>
    <n v="49.8"/>
    <n v="99.6"/>
    <s v="Single"/>
    <x v="1"/>
    <s v="completed"/>
  </r>
  <r>
    <n v="202400080"/>
    <x v="257"/>
    <n v="2024"/>
    <x v="0"/>
    <n v="10"/>
    <x v="64"/>
    <s v="Maria Wilson"/>
    <x v="2"/>
    <s v="Germany"/>
    <x v="0"/>
    <x v="1"/>
    <n v="10"/>
    <n v="293.98"/>
    <n v="2939.8"/>
    <s v="Bulk"/>
    <x v="2"/>
    <s v="completed"/>
  </r>
  <r>
    <n v="202400149"/>
    <x v="229"/>
    <n v="2024"/>
    <x v="2"/>
    <n v="2"/>
    <x v="75"/>
    <s v="Maria Muller"/>
    <x v="2"/>
    <s v="Australia"/>
    <x v="3"/>
    <x v="11"/>
    <n v="3"/>
    <n v="1438.37"/>
    <n v="4315.1099999999997"/>
    <s v="Medium"/>
    <x v="1"/>
    <s v="pending "/>
  </r>
  <r>
    <n v="202400721"/>
    <x v="288"/>
    <n v="2024"/>
    <x v="1"/>
    <n v="4"/>
    <x v="28"/>
    <s v="Julia Nilsson"/>
    <x v="3"/>
    <s v="Brazil"/>
    <x v="1"/>
    <x v="11"/>
    <n v="5"/>
    <n v="1964.09"/>
    <n v="9820.4499999999989"/>
    <s v="Medium"/>
    <x v="0"/>
    <s v="completed"/>
  </r>
  <r>
    <n v="202400725"/>
    <x v="174"/>
    <n v="2024"/>
    <x v="0"/>
    <n v="10"/>
    <x v="62"/>
    <s v="Paul Dupont"/>
    <x v="2"/>
    <s v="Netherlands"/>
    <x v="0"/>
    <x v="1"/>
    <n v="12"/>
    <n v="1429.57"/>
    <n v="17154.84"/>
    <s v="Bulk"/>
    <x v="1"/>
    <s v="completed"/>
  </r>
  <r>
    <n v="202400715"/>
    <x v="204"/>
    <n v="2024"/>
    <x v="0"/>
    <n v="11"/>
    <x v="33"/>
    <s v="Sarah Rodriguez"/>
    <x v="0"/>
    <s v="Australia"/>
    <x v="3"/>
    <x v="11"/>
    <n v="5"/>
    <n v="121.37"/>
    <n v="606.85"/>
    <s v="Medium"/>
    <x v="1"/>
    <s v="shipped"/>
  </r>
  <r>
    <n v="202400134"/>
    <x v="78"/>
    <n v="2024"/>
    <x v="0"/>
    <n v="12"/>
    <x v="48"/>
    <s v="Paul Leclerc"/>
    <x v="3"/>
    <s v="Australia"/>
    <x v="3"/>
    <x v="8"/>
    <n v="6"/>
    <n v="120.49"/>
    <n v="722.93999999999994"/>
    <s v="Medium"/>
    <x v="3"/>
    <s v="completed"/>
  </r>
  <r>
    <n v="202400844"/>
    <x v="29"/>
    <n v="2024"/>
    <x v="0"/>
    <n v="10"/>
    <x v="70"/>
    <s v="David Smith"/>
    <x v="0"/>
    <s v="Canada"/>
    <x v="2"/>
    <x v="8"/>
    <n v="12"/>
    <n v="641.92999999999995"/>
    <n v="7703.16"/>
    <s v="Bulk"/>
    <x v="0"/>
    <s v="completed"/>
  </r>
  <r>
    <n v="202400409"/>
    <x v="289"/>
    <n v="2024"/>
    <x v="2"/>
    <n v="3"/>
    <x v="55"/>
    <s v="Sarah Johnson"/>
    <x v="2"/>
    <s v="Germany"/>
    <x v="0"/>
    <x v="8"/>
    <n v="14"/>
    <n v="1149.1400000000001"/>
    <n v="16087.960000000001"/>
    <s v="Bulk"/>
    <x v="2"/>
    <s v="completed"/>
  </r>
  <r>
    <n v="202400773"/>
    <x v="290"/>
    <n v="2024"/>
    <x v="0"/>
    <n v="10"/>
    <x v="7"/>
    <s v="Sophie Johnson"/>
    <x v="1"/>
    <s v="USA"/>
    <x v="2"/>
    <x v="7"/>
    <n v="13"/>
    <n v="1991.42"/>
    <n v="25888.46"/>
    <s v="Bulk"/>
    <x v="1"/>
    <s v="completed"/>
  </r>
  <r>
    <n v="202400508"/>
    <x v="35"/>
    <n v="2024"/>
    <x v="2"/>
    <n v="1"/>
    <x v="26"/>
    <s v="Emma Leclerc"/>
    <x v="1"/>
    <s v="Canada"/>
    <x v="2"/>
    <x v="1"/>
    <n v="10"/>
    <n v="235.78"/>
    <n v="2357.8000000000002"/>
    <s v="Bulk"/>
    <x v="2"/>
    <s v="completed"/>
  </r>
  <r>
    <n v="202401011"/>
    <x v="291"/>
    <n v="2024"/>
    <x v="2"/>
    <n v="1"/>
    <x v="63"/>
    <s v="Lucas Chen"/>
    <x v="1"/>
    <s v="Italy"/>
    <x v="0"/>
    <x v="1"/>
    <n v="8"/>
    <n v="326.77"/>
    <n v="2614.16"/>
    <s v="Medium"/>
    <x v="2"/>
    <s v="completed"/>
  </r>
  <r>
    <n v="202400505"/>
    <x v="204"/>
    <n v="2024"/>
    <x v="0"/>
    <n v="11"/>
    <x v="12"/>
    <s v="Nora Tanaka"/>
    <x v="3"/>
    <s v="France"/>
    <x v="0"/>
    <x v="8"/>
    <n v="13"/>
    <n v="1058.22"/>
    <n v="13756.86"/>
    <s v="Bulk"/>
    <x v="3"/>
    <s v="completed"/>
  </r>
  <r>
    <n v="202400733"/>
    <x v="267"/>
    <n v="2024"/>
    <x v="2"/>
    <n v="3"/>
    <x v="62"/>
    <s v="Paul Dupont"/>
    <x v="2"/>
    <s v="Netherlands"/>
    <x v="0"/>
    <x v="4"/>
    <n v="10"/>
    <n v="66.95"/>
    <n v="669.5"/>
    <s v="Bulk"/>
    <x v="1"/>
    <s v="completed"/>
  </r>
  <r>
    <n v="202400348"/>
    <x v="7"/>
    <n v="2024"/>
    <x v="0"/>
    <n v="12"/>
    <x v="40"/>
    <s v="John Rossi"/>
    <x v="0"/>
    <s v="Netherlands"/>
    <x v="0"/>
    <x v="14"/>
    <n v="12"/>
    <n v="1994.84"/>
    <n v="23938.079999999998"/>
    <s v="Bulk"/>
    <x v="2"/>
    <s v="cancelled"/>
  </r>
  <r>
    <n v="202400387"/>
    <x v="292"/>
    <n v="2024"/>
    <x v="1"/>
    <n v="4"/>
    <x v="49"/>
    <s v="Marie Smith"/>
    <x v="1"/>
    <s v="Netherlands"/>
    <x v="0"/>
    <x v="13"/>
    <n v="3"/>
    <n v="1655.25"/>
    <n v="4965.75"/>
    <s v="Medium"/>
    <x v="2"/>
    <s v="completed"/>
  </r>
  <r>
    <n v="202400001"/>
    <x v="0"/>
    <n v="2024"/>
    <x v="0"/>
    <n v="11"/>
    <x v="0"/>
    <s v="Sophie Brown"/>
    <x v="0"/>
    <s v="France"/>
    <x v="0"/>
    <x v="0"/>
    <n v="10"/>
    <n v="1443.52"/>
    <n v="14435.2"/>
    <s v="Bulk"/>
    <x v="1"/>
    <s v="completed"/>
  </r>
  <r>
    <n v="202400361"/>
    <x v="135"/>
    <n v="2024"/>
    <x v="2"/>
    <n v="1"/>
    <x v="56"/>
    <s v="Lisa Chen"/>
    <x v="2"/>
    <s v="Spain"/>
    <x v="0"/>
    <x v="10"/>
    <n v="14"/>
    <n v="1540.87"/>
    <n v="21572.18"/>
    <s v="Bulk"/>
    <x v="3"/>
    <s v="completed"/>
  </r>
  <r>
    <n v="202400476"/>
    <x v="293"/>
    <n v="2024"/>
    <x v="1"/>
    <n v="5"/>
    <x v="48"/>
    <s v="Paul Leclerc"/>
    <x v="3"/>
    <s v="Australia"/>
    <x v="3"/>
    <x v="1"/>
    <n v="12"/>
    <n v="1692.33"/>
    <n v="20307.96"/>
    <s v="Bulk"/>
    <x v="3"/>
    <s v="refunded"/>
  </r>
  <r>
    <n v="202401097"/>
    <x v="33"/>
    <n v="2024"/>
    <x v="3"/>
    <n v="8"/>
    <x v="41"/>
    <s v="Sophie Garcia"/>
    <x v="1"/>
    <s v="USA"/>
    <x v="2"/>
    <x v="12"/>
    <n v="9"/>
    <n v="314.76"/>
    <n v="2832.84"/>
    <s v="Medium"/>
    <x v="0"/>
    <s v="cancelled"/>
  </r>
  <r>
    <n v="202400771"/>
    <x v="283"/>
    <n v="2024"/>
    <x v="0"/>
    <n v="12"/>
    <x v="51"/>
    <s v="David Rodriguez"/>
    <x v="1"/>
    <s v="Netherlands"/>
    <x v="0"/>
    <x v="0"/>
    <n v="14"/>
    <n v="1635.72"/>
    <n v="22900.080000000002"/>
    <s v="Bulk"/>
    <x v="1"/>
    <s v="completed"/>
  </r>
  <r>
    <n v="202400173"/>
    <x v="196"/>
    <n v="2024"/>
    <x v="2"/>
    <n v="1"/>
    <x v="1"/>
    <s v="Carlos Muller"/>
    <x v="1"/>
    <s v="Netherlands"/>
    <x v="0"/>
    <x v="13"/>
    <n v="5"/>
    <n v="725.83"/>
    <n v="3629.15"/>
    <s v="Medium"/>
    <x v="3"/>
    <s v="pending"/>
  </r>
  <r>
    <n v="202400451"/>
    <x v="291"/>
    <n v="2024"/>
    <x v="2"/>
    <n v="1"/>
    <x v="78"/>
    <s v="Emma Smith"/>
    <x v="0"/>
    <s v="Mexico"/>
    <x v="1"/>
    <x v="3"/>
    <n v="8"/>
    <n v="430.67"/>
    <n v="3445.36"/>
    <s v="Medium"/>
    <x v="1"/>
    <s v="completed"/>
  </r>
  <r>
    <n v="202400126"/>
    <x v="83"/>
    <n v="2024"/>
    <x v="2"/>
    <n v="2"/>
    <x v="67"/>
    <s v="Nora Chen"/>
    <x v="3"/>
    <s v="UK"/>
    <x v="0"/>
    <x v="9"/>
    <n v="8"/>
    <n v="1601.55"/>
    <n v="12812.4"/>
    <s v="Medium"/>
    <x v="2"/>
    <s v="completed"/>
  </r>
  <r>
    <n v="202400853"/>
    <x v="282"/>
    <n v="2024"/>
    <x v="2"/>
    <n v="2"/>
    <x v="72"/>
    <s v="Sophie Brown"/>
    <x v="1"/>
    <s v="Australia"/>
    <x v="3"/>
    <x v="2"/>
    <n v="9"/>
    <n v="759.3"/>
    <n v="6833.7"/>
    <s v="Medium"/>
    <x v="2"/>
    <s v="completed"/>
  </r>
  <r>
    <n v="202400531"/>
    <x v="119"/>
    <n v="2024"/>
    <x v="3"/>
    <n v="7"/>
    <x v="26"/>
    <s v="Emma Leclerc"/>
    <x v="1"/>
    <s v="Canada"/>
    <x v="2"/>
    <x v="9"/>
    <n v="6"/>
    <n v="374.92"/>
    <n v="2249.52"/>
    <s v="Medium"/>
    <x v="2"/>
    <s v="completed"/>
  </r>
  <r>
    <n v="202400091"/>
    <x v="9"/>
    <n v="2024"/>
    <x v="2"/>
    <n v="1"/>
    <x v="64"/>
    <s v="Maria Wilson"/>
    <x v="2"/>
    <s v="Germany"/>
    <x v="0"/>
    <x v="10"/>
    <n v="9"/>
    <n v="870.3"/>
    <n v="7832.7"/>
    <s v="Medium"/>
    <x v="3"/>
    <s v="pending"/>
  </r>
  <r>
    <n v="202401173"/>
    <x v="281"/>
    <n v="2024"/>
    <x v="0"/>
    <n v="12"/>
    <x v="13"/>
    <s v="Nora Brown"/>
    <x v="3"/>
    <s v="Italy"/>
    <x v="0"/>
    <x v="10"/>
    <n v="7"/>
    <n v="327.71"/>
    <n v="2293.9699999999998"/>
    <s v="Medium"/>
    <x v="2"/>
    <s v="pending"/>
  </r>
  <r>
    <n v="202400182"/>
    <x v="101"/>
    <n v="2024"/>
    <x v="3"/>
    <n v="8"/>
    <x v="58"/>
    <s v="Carlos Nilsson"/>
    <x v="0"/>
    <s v="Germany"/>
    <x v="0"/>
    <x v="2"/>
    <n v="13"/>
    <n v="567.66999999999996"/>
    <n v="7379.7099999999991"/>
    <s v="Bulk"/>
    <x v="2"/>
    <s v="completed"/>
  </r>
  <r>
    <n v="202400701"/>
    <x v="43"/>
    <n v="2024"/>
    <x v="0"/>
    <n v="10"/>
    <x v="28"/>
    <s v="Julia Nilsson"/>
    <x v="3"/>
    <s v="Brazil"/>
    <x v="1"/>
    <x v="1"/>
    <n v="10"/>
    <n v="794.02"/>
    <n v="7940.2"/>
    <s v="Bulk"/>
    <x v="3"/>
    <s v="shipped"/>
  </r>
  <r>
    <n v="202401024"/>
    <x v="253"/>
    <n v="2024"/>
    <x v="2"/>
    <n v="2"/>
    <x v="68"/>
    <s v="Nora Rodriguez"/>
    <x v="0"/>
    <s v="Mexico"/>
    <x v="1"/>
    <x v="11"/>
    <n v="13"/>
    <n v="670.18"/>
    <n v="8712.34"/>
    <s v="Bulk"/>
    <x v="2"/>
    <s v="completed"/>
  </r>
  <r>
    <n v="202400252"/>
    <x v="265"/>
    <n v="2024"/>
    <x v="1"/>
    <n v="5"/>
    <x v="69"/>
    <s v="Pierre Rossi"/>
    <x v="3"/>
    <s v="Germany"/>
    <x v="0"/>
    <x v="14"/>
    <n v="10"/>
    <n v="910.96"/>
    <n v="9109.6"/>
    <s v="Bulk"/>
    <x v="2"/>
    <s v="completed"/>
  </r>
  <r>
    <n v="202400070"/>
    <x v="204"/>
    <n v="2024"/>
    <x v="0"/>
    <n v="11"/>
    <x v="34"/>
    <s v="Anna Garcia"/>
    <x v="0"/>
    <s v="Germany"/>
    <x v="0"/>
    <x v="12"/>
    <n v="9"/>
    <n v="1841.37"/>
    <n v="16572.329999999998"/>
    <s v="Medium"/>
    <x v="1"/>
    <s v="shipped"/>
  </r>
  <r>
    <n v="202400132"/>
    <x v="131"/>
    <n v="2024"/>
    <x v="3"/>
    <n v="7"/>
    <x v="57"/>
    <s v="Emma Johnson"/>
    <x v="1"/>
    <s v="Netherlands"/>
    <x v="0"/>
    <x v="5"/>
    <n v="5"/>
    <n v="1512.33"/>
    <n v="7561.65"/>
    <s v="Medium"/>
    <x v="2"/>
    <s v="completed"/>
  </r>
  <r>
    <n v="202400301"/>
    <x v="238"/>
    <n v="2024"/>
    <x v="3"/>
    <n v="8"/>
    <x v="26"/>
    <s v="Emma Leclerc"/>
    <x v="1"/>
    <s v="Canada"/>
    <x v="2"/>
    <x v="12"/>
    <n v="4"/>
    <n v="271.13"/>
    <n v="1084.52"/>
    <s v="Medium"/>
    <x v="1"/>
    <s v="shipped"/>
  </r>
  <r>
    <n v="202400327"/>
    <x v="224"/>
    <n v="2024"/>
    <x v="2"/>
    <n v="2"/>
    <x v="27"/>
    <s v="Paul Rodriguez"/>
    <x v="2"/>
    <s v="Spain"/>
    <x v="0"/>
    <x v="11"/>
    <n v="14"/>
    <n v="146.16999999999999"/>
    <n v="2046.3799999999999"/>
    <s v="Bulk"/>
    <x v="0"/>
    <s v="shipped"/>
  </r>
  <r>
    <n v="202401186"/>
    <x v="137"/>
    <n v="2024"/>
    <x v="1"/>
    <n v="5"/>
    <x v="5"/>
    <s v="James Nilsson"/>
    <x v="1"/>
    <s v="Italy"/>
    <x v="0"/>
    <x v="10"/>
    <n v="10"/>
    <n v="1964.9"/>
    <n v="19649"/>
    <s v="Bulk"/>
    <x v="3"/>
    <s v="completed"/>
  </r>
  <r>
    <n v="202400500"/>
    <x v="294"/>
    <n v="2024"/>
    <x v="1"/>
    <n v="4"/>
    <x v="42"/>
    <s v="Lisa Martin"/>
    <x v="0"/>
    <s v="Mexico"/>
    <x v="1"/>
    <x v="2"/>
    <n v="13"/>
    <n v="109.66"/>
    <n v="1425.58"/>
    <s v="Bulk"/>
    <x v="1"/>
    <s v="cancelled"/>
  </r>
  <r>
    <n v="202400830"/>
    <x v="25"/>
    <n v="2024"/>
    <x v="1"/>
    <n v="6"/>
    <x v="32"/>
    <s v="Marie Nilsson"/>
    <x v="1"/>
    <s v="Brazil"/>
    <x v="1"/>
    <x v="3"/>
    <n v="5"/>
    <n v="1164.6600000000001"/>
    <n v="5823.3"/>
    <s v="Medium"/>
    <x v="1"/>
    <s v="refunded"/>
  </r>
  <r>
    <n v="202400496"/>
    <x v="275"/>
    <n v="2024"/>
    <x v="1"/>
    <n v="4"/>
    <x v="51"/>
    <s v="David Rodriguez"/>
    <x v="1"/>
    <s v="Netherlands"/>
    <x v="0"/>
    <x v="0"/>
    <n v="4"/>
    <n v="1878.96"/>
    <n v="7515.84"/>
    <s v="Medium"/>
    <x v="1"/>
    <s v="completed"/>
  </r>
  <r>
    <n v="202400339"/>
    <x v="295"/>
    <n v="2024"/>
    <x v="0"/>
    <n v="12"/>
    <x v="0"/>
    <s v="Sophie Brown"/>
    <x v="0"/>
    <s v="France"/>
    <x v="0"/>
    <x v="2"/>
    <n v="11"/>
    <n v="1516.9"/>
    <n v="16685.900000000001"/>
    <s v="Bulk"/>
    <x v="1"/>
    <s v="shipped"/>
  </r>
  <r>
    <n v="202400986"/>
    <x v="296"/>
    <n v="2024"/>
    <x v="2"/>
    <n v="2"/>
    <x v="66"/>
    <s v="Sarah Leclerc"/>
    <x v="3"/>
    <s v="Germany"/>
    <x v="0"/>
    <x v="12"/>
    <n v="7"/>
    <n v="1965.18"/>
    <n v="13756.26"/>
    <s v="Medium"/>
    <x v="2"/>
    <s v="refunded"/>
  </r>
  <r>
    <n v="202400165"/>
    <x v="297"/>
    <n v="2024"/>
    <x v="3"/>
    <n v="9"/>
    <x v="72"/>
    <s v="Sophie Brown"/>
    <x v="1"/>
    <s v="Australia"/>
    <x v="3"/>
    <x v="5"/>
    <n v="2"/>
    <n v="59.18"/>
    <n v="118.36"/>
    <s v="Single"/>
    <x v="2"/>
    <s v="completed"/>
  </r>
  <r>
    <n v="202400029"/>
    <x v="266"/>
    <n v="2024"/>
    <x v="1"/>
    <n v="6"/>
    <x v="35"/>
    <s v="John Rodriguez"/>
    <x v="2"/>
    <s v="USA"/>
    <x v="2"/>
    <x v="8"/>
    <n v="11"/>
    <n v="1870.06"/>
    <n v="20570.66"/>
    <s v="Bulk"/>
    <x v="3"/>
    <s v="completed"/>
  </r>
  <r>
    <n v="202400517"/>
    <x v="91"/>
    <n v="2024"/>
    <x v="1"/>
    <n v="5"/>
    <x v="48"/>
    <s v="Paul Leclerc"/>
    <x v="3"/>
    <s v="Australia"/>
    <x v="3"/>
    <x v="1"/>
    <n v="10"/>
    <n v="1595.85"/>
    <n v="15958.5"/>
    <s v="Bulk"/>
    <x v="0"/>
    <s v="cancelled"/>
  </r>
  <r>
    <n v="202400194"/>
    <x v="115"/>
    <n v="2024"/>
    <x v="2"/>
    <n v="2"/>
    <x v="35"/>
    <s v="John Rodriguez"/>
    <x v="2"/>
    <s v="USA"/>
    <x v="2"/>
    <x v="11"/>
    <n v="9"/>
    <n v="77.040000000000006"/>
    <n v="693.36"/>
    <s v="Medium"/>
    <x v="2"/>
    <s v="completed"/>
  </r>
  <r>
    <n v="202400650"/>
    <x v="170"/>
    <n v="2024"/>
    <x v="2"/>
    <n v="2"/>
    <x v="57"/>
    <s v="Emma Johnson"/>
    <x v="1"/>
    <s v="Netherlands"/>
    <x v="0"/>
    <x v="7"/>
    <n v="2"/>
    <n v="1518.24"/>
    <n v="3036.48"/>
    <s v="Single"/>
    <x v="1"/>
    <s v="completed"/>
  </r>
  <r>
    <n v="202400797"/>
    <x v="298"/>
    <n v="2024"/>
    <x v="3"/>
    <n v="9"/>
    <x v="57"/>
    <s v="Emma Johnson"/>
    <x v="1"/>
    <s v="Netherlands"/>
    <x v="0"/>
    <x v="9"/>
    <n v="13"/>
    <n v="165.58"/>
    <n v="2152.54"/>
    <s v="Bulk"/>
    <x v="2"/>
    <s v="completed"/>
  </r>
  <r>
    <n v="202400170"/>
    <x v="152"/>
    <n v="2024"/>
    <x v="2"/>
    <n v="3"/>
    <x v="55"/>
    <s v="Sarah Johnson"/>
    <x v="2"/>
    <s v="Germany"/>
    <x v="0"/>
    <x v="2"/>
    <n v="8"/>
    <n v="1484.3"/>
    <n v="11874.4"/>
    <s v="Medium"/>
    <x v="2"/>
    <s v="completed"/>
  </r>
  <r>
    <n v="202400843"/>
    <x v="215"/>
    <n v="2024"/>
    <x v="2"/>
    <n v="1"/>
    <x v="62"/>
    <s v="Paul Dupont"/>
    <x v="2"/>
    <s v="Netherlands"/>
    <x v="0"/>
    <x v="1"/>
    <n v="6"/>
    <n v="697.45"/>
    <n v="4184.7000000000007"/>
    <s v="Medium"/>
    <x v="1"/>
    <s v="completed"/>
  </r>
  <r>
    <n v="202400174"/>
    <x v="198"/>
    <n v="2024"/>
    <x v="1"/>
    <n v="6"/>
    <x v="27"/>
    <s v="Paul Rodriguez"/>
    <x v="2"/>
    <s v="Spain"/>
    <x v="0"/>
    <x v="9"/>
    <n v="5"/>
    <n v="1001.39"/>
    <n v="5006.95"/>
    <s v="Medium"/>
    <x v="2"/>
    <s v="completed"/>
  </r>
  <r>
    <n v="202400519"/>
    <x v="250"/>
    <n v="2024"/>
    <x v="2"/>
    <n v="2"/>
    <x v="74"/>
    <s v="Lisa Nilsson"/>
    <x v="3"/>
    <s v="France"/>
    <x v="0"/>
    <x v="1"/>
    <n v="3"/>
    <n v="1060.31"/>
    <n v="3180.93"/>
    <s v="Medium"/>
    <x v="1"/>
    <s v="shipped"/>
  </r>
  <r>
    <n v="202400941"/>
    <x v="186"/>
    <n v="2024"/>
    <x v="2"/>
    <n v="3"/>
    <x v="14"/>
    <s v="Sophie Nilsson"/>
    <x v="2"/>
    <s v="Japan"/>
    <x v="3"/>
    <x v="3"/>
    <n v="8"/>
    <n v="220.42"/>
    <n v="1763.36"/>
    <s v="Medium"/>
    <x v="0"/>
    <s v="completed"/>
  </r>
  <r>
    <n v="202400719"/>
    <x v="88"/>
    <n v="2024"/>
    <x v="2"/>
    <n v="3"/>
    <x v="17"/>
    <s v="Maria Johnson"/>
    <x v="0"/>
    <s v="Brazil"/>
    <x v="1"/>
    <x v="14"/>
    <n v="14"/>
    <n v="1117.45"/>
    <n v="15644.300000000001"/>
    <s v="Bulk"/>
    <x v="1"/>
    <s v="refunded"/>
  </r>
  <r>
    <n v="202400492"/>
    <x v="176"/>
    <n v="2024"/>
    <x v="3"/>
    <n v="7"/>
    <x v="36"/>
    <s v="Lisa Chen"/>
    <x v="0"/>
    <s v="France"/>
    <x v="0"/>
    <x v="0"/>
    <n v="5"/>
    <n v="181.46"/>
    <n v="907.30000000000007"/>
    <s v="Medium"/>
    <x v="1"/>
    <s v="shipped"/>
  </r>
  <r>
    <n v="202400074"/>
    <x v="180"/>
    <n v="2024"/>
    <x v="2"/>
    <n v="3"/>
    <x v="10"/>
    <s v="John Garcia"/>
    <x v="3"/>
    <s v="Brazil"/>
    <x v="1"/>
    <x v="2"/>
    <n v="8"/>
    <n v="1023.78"/>
    <n v="8190.24"/>
    <s v="Medium"/>
    <x v="3"/>
    <s v="pending "/>
  </r>
  <r>
    <n v="202401004"/>
    <x v="281"/>
    <n v="2024"/>
    <x v="0"/>
    <n v="12"/>
    <x v="38"/>
    <s v="Nora Rodriguez"/>
    <x v="3"/>
    <s v="Germany"/>
    <x v="0"/>
    <x v="8"/>
    <n v="14"/>
    <n v="353.76"/>
    <n v="4952.6399999999994"/>
    <s v="Bulk"/>
    <x v="2"/>
    <s v="pending"/>
  </r>
  <r>
    <n v="202400588"/>
    <x v="142"/>
    <n v="2024"/>
    <x v="0"/>
    <n v="12"/>
    <x v="8"/>
    <s v="Julia Johnson"/>
    <x v="2"/>
    <s v="France"/>
    <x v="0"/>
    <x v="10"/>
    <n v="2"/>
    <n v="424.22"/>
    <n v="848.44"/>
    <s v="Single"/>
    <x v="2"/>
    <s v="completed"/>
  </r>
  <r>
    <n v="202400235"/>
    <x v="299"/>
    <n v="2024"/>
    <x v="1"/>
    <n v="6"/>
    <x v="33"/>
    <s v="Sarah Rodriguez"/>
    <x v="0"/>
    <s v="Australia"/>
    <x v="3"/>
    <x v="12"/>
    <n v="1"/>
    <n v="145.25"/>
    <n v="145.25"/>
    <s v="Single"/>
    <x v="0"/>
    <s v="pending"/>
  </r>
  <r>
    <n v="202400215"/>
    <x v="275"/>
    <n v="2024"/>
    <x v="1"/>
    <n v="4"/>
    <x v="23"/>
    <s v="David Martin"/>
    <x v="2"/>
    <s v="Canada"/>
    <x v="2"/>
    <x v="14"/>
    <n v="7"/>
    <n v="941.5"/>
    <n v="6590.5"/>
    <s v="Medium"/>
    <x v="3"/>
    <s v="cancelled"/>
  </r>
  <r>
    <n v="202400969"/>
    <x v="298"/>
    <n v="2024"/>
    <x v="3"/>
    <n v="9"/>
    <x v="33"/>
    <s v="Sarah Rodriguez"/>
    <x v="0"/>
    <s v="Australia"/>
    <x v="3"/>
    <x v="14"/>
    <n v="9"/>
    <n v="720.56"/>
    <n v="6485.0399999999991"/>
    <s v="Medium"/>
    <x v="1"/>
    <s v="completed"/>
  </r>
  <r>
    <n v="202400133"/>
    <x v="3"/>
    <n v="2024"/>
    <x v="2"/>
    <n v="1"/>
    <x v="77"/>
    <s v="Maria Smith"/>
    <x v="2"/>
    <s v="Australia"/>
    <x v="3"/>
    <x v="4"/>
    <n v="4"/>
    <n v="697.58"/>
    <n v="2790.32"/>
    <s v="Medium"/>
    <x v="1"/>
    <s v="completed"/>
  </r>
  <r>
    <n v="202400794"/>
    <x v="109"/>
    <n v="2024"/>
    <x v="0"/>
    <n v="11"/>
    <x v="52"/>
    <s v="Emma Garcia"/>
    <x v="2"/>
    <s v="Mexico"/>
    <x v="1"/>
    <x v="13"/>
    <n v="8"/>
    <n v="934.85"/>
    <n v="7478.8"/>
    <s v="Medium"/>
    <x v="0"/>
    <s v="completed"/>
  </r>
  <r>
    <n v="202401049"/>
    <x v="247"/>
    <n v="2024"/>
    <x v="0"/>
    <n v="11"/>
    <x v="76"/>
    <s v="Sophie Brown"/>
    <x v="1"/>
    <s v="USA"/>
    <x v="2"/>
    <x v="8"/>
    <n v="14"/>
    <n v="756.19"/>
    <n v="10586.66"/>
    <s v="Bulk"/>
    <x v="2"/>
    <s v="completed"/>
  </r>
  <r>
    <n v="202400962"/>
    <x v="300"/>
    <n v="2024"/>
    <x v="2"/>
    <n v="1"/>
    <x v="3"/>
    <s v="Carlos Tanaka"/>
    <x v="2"/>
    <s v="Italy"/>
    <x v="0"/>
    <x v="5"/>
    <n v="7"/>
    <n v="1361.76"/>
    <n v="9532.32"/>
    <s v="Medium"/>
    <x v="3"/>
    <s v="completed"/>
  </r>
  <r>
    <n v="202400186"/>
    <x v="102"/>
    <n v="2024"/>
    <x v="1"/>
    <n v="5"/>
    <x v="63"/>
    <s v="Lucas Chen"/>
    <x v="1"/>
    <s v="Italy"/>
    <x v="0"/>
    <x v="5"/>
    <n v="9"/>
    <n v="451.01"/>
    <n v="4059.09"/>
    <s v="Medium"/>
    <x v="2"/>
    <s v="refunded"/>
  </r>
  <r>
    <n v="202400042"/>
    <x v="29"/>
    <n v="2024"/>
    <x v="0"/>
    <n v="10"/>
    <x v="0"/>
    <s v="Sophie Brown"/>
    <x v="0"/>
    <s v="France"/>
    <x v="0"/>
    <x v="10"/>
    <n v="8"/>
    <n v="197.54"/>
    <n v="1580.32"/>
    <s v="Medium"/>
    <x v="2"/>
    <s v="shipped"/>
  </r>
  <r>
    <n v="202400109"/>
    <x v="221"/>
    <n v="2024"/>
    <x v="2"/>
    <n v="1"/>
    <x v="55"/>
    <s v="Sarah Johnson"/>
    <x v="2"/>
    <s v="Germany"/>
    <x v="0"/>
    <x v="0"/>
    <n v="11"/>
    <n v="1285.1199999999999"/>
    <n v="14136.32"/>
    <s v="Bulk"/>
    <x v="2"/>
    <s v="shipped"/>
  </r>
  <r>
    <n v="202400868"/>
    <x v="64"/>
    <n v="2024"/>
    <x v="1"/>
    <n v="6"/>
    <x v="46"/>
    <s v="Marie Martin"/>
    <x v="3"/>
    <s v="Canada"/>
    <x v="2"/>
    <x v="1"/>
    <n v="7"/>
    <n v="1014.62"/>
    <n v="7102.34"/>
    <s v="Medium"/>
    <x v="1"/>
    <s v="completed"/>
  </r>
  <r>
    <n v="202400569"/>
    <x v="102"/>
    <n v="2024"/>
    <x v="1"/>
    <n v="5"/>
    <x v="41"/>
    <s v="Sophie Garcia"/>
    <x v="1"/>
    <s v="USA"/>
    <x v="2"/>
    <x v="5"/>
    <n v="6"/>
    <n v="1154.73"/>
    <n v="6928.38"/>
    <s v="Medium"/>
    <x v="3"/>
    <s v="completed"/>
  </r>
  <r>
    <n v="202400667"/>
    <x v="263"/>
    <n v="2024"/>
    <x v="0"/>
    <n v="10"/>
    <x v="20"/>
    <s v="Lucas Rossi"/>
    <x v="0"/>
    <s v="Australia"/>
    <x v="3"/>
    <x v="5"/>
    <n v="5"/>
    <n v="974.14"/>
    <n v="4870.7"/>
    <s v="Medium"/>
    <x v="1"/>
    <s v="completed"/>
  </r>
  <r>
    <n v="202401025"/>
    <x v="240"/>
    <n v="2024"/>
    <x v="0"/>
    <n v="10"/>
    <x v="40"/>
    <s v="John Rossi"/>
    <x v="0"/>
    <s v="Netherlands"/>
    <x v="0"/>
    <x v="6"/>
    <n v="3"/>
    <n v="1576.52"/>
    <n v="4729.5599999999995"/>
    <s v="Medium"/>
    <x v="2"/>
    <s v="cancelled"/>
  </r>
  <r>
    <n v="202401166"/>
    <x v="301"/>
    <n v="2024"/>
    <x v="0"/>
    <n v="11"/>
    <x v="29"/>
    <s v="Nora Tanaka"/>
    <x v="3"/>
    <s v="Canada"/>
    <x v="2"/>
    <x v="9"/>
    <n v="8"/>
    <n v="536.77"/>
    <n v="4294.16"/>
    <s v="Medium"/>
    <x v="3"/>
    <s v="completed"/>
  </r>
  <r>
    <n v="202400469"/>
    <x v="96"/>
    <n v="2024"/>
    <x v="0"/>
    <n v="10"/>
    <x v="12"/>
    <s v="Nora Tanaka"/>
    <x v="3"/>
    <s v="France"/>
    <x v="0"/>
    <x v="7"/>
    <n v="1"/>
    <n v="181.99"/>
    <n v="181.99"/>
    <s v="Single"/>
    <x v="1"/>
    <s v="shipped"/>
  </r>
  <r>
    <n v="202400025"/>
    <x v="273"/>
    <n v="2024"/>
    <x v="0"/>
    <n v="11"/>
    <x v="56"/>
    <s v="Lisa Chen"/>
    <x v="2"/>
    <s v="Spain"/>
    <x v="0"/>
    <x v="1"/>
    <n v="13"/>
    <n v="1814.79"/>
    <n v="23592.27"/>
    <s v="Bulk"/>
    <x v="1"/>
    <s v="shipped"/>
  </r>
  <r>
    <n v="202400677"/>
    <x v="266"/>
    <n v="2024"/>
    <x v="1"/>
    <n v="6"/>
    <x v="46"/>
    <s v="Marie Martin"/>
    <x v="3"/>
    <s v="Canada"/>
    <x v="2"/>
    <x v="0"/>
    <n v="2"/>
    <n v="172.67"/>
    <n v="345.34"/>
    <s v="Single"/>
    <x v="1"/>
    <s v="completed"/>
  </r>
  <r>
    <n v="202400696"/>
    <x v="302"/>
    <n v="2024"/>
    <x v="2"/>
    <n v="3"/>
    <x v="27"/>
    <s v="Paul Rodriguez"/>
    <x v="2"/>
    <s v="Spain"/>
    <x v="0"/>
    <x v="8"/>
    <n v="14"/>
    <n v="1893.78"/>
    <n v="26512.92"/>
    <s v="Bulk"/>
    <x v="2"/>
    <s v="completed"/>
  </r>
  <r>
    <n v="202401200"/>
    <x v="105"/>
    <n v="2024"/>
    <x v="0"/>
    <n v="12"/>
    <x v="38"/>
    <s v="Nora Rodriguez"/>
    <x v="3"/>
    <s v="Germany"/>
    <x v="0"/>
    <x v="2"/>
    <n v="8"/>
    <n v="1367.44"/>
    <n v="10939.52"/>
    <s v="Medium"/>
    <x v="1"/>
    <s v="completed"/>
  </r>
  <r>
    <n v="202401120"/>
    <x v="101"/>
    <n v="2024"/>
    <x v="3"/>
    <n v="8"/>
    <x v="17"/>
    <s v="Maria Johnson"/>
    <x v="0"/>
    <s v="Brazil"/>
    <x v="1"/>
    <x v="2"/>
    <n v="8"/>
    <n v="1028.29"/>
    <n v="8226.32"/>
    <s v="Medium"/>
    <x v="0"/>
    <s v="pending"/>
  </r>
  <r>
    <n v="202400367"/>
    <x v="79"/>
    <n v="2024"/>
    <x v="3"/>
    <n v="9"/>
    <x v="52"/>
    <s v="Emma Garcia"/>
    <x v="2"/>
    <s v="Mexico"/>
    <x v="1"/>
    <x v="7"/>
    <n v="12"/>
    <n v="146.71"/>
    <n v="1760.52"/>
    <s v="Bulk"/>
    <x v="0"/>
    <s v="completed"/>
  </r>
  <r>
    <n v="202400859"/>
    <x v="221"/>
    <n v="2024"/>
    <x v="2"/>
    <n v="1"/>
    <x v="44"/>
    <s v="Lucas Muller"/>
    <x v="1"/>
    <s v="Netherlands"/>
    <x v="0"/>
    <x v="13"/>
    <n v="9"/>
    <n v="1178.3"/>
    <n v="10604.699999999999"/>
    <s v="Medium"/>
    <x v="1"/>
    <s v="refunded"/>
  </r>
  <r>
    <n v="202401064"/>
    <x v="251"/>
    <n v="2024"/>
    <x v="0"/>
    <n v="12"/>
    <x v="76"/>
    <s v="Sophie Brown"/>
    <x v="1"/>
    <s v="USA"/>
    <x v="2"/>
    <x v="13"/>
    <n v="14"/>
    <n v="713.57"/>
    <n v="9989.9800000000014"/>
    <s v="Bulk"/>
    <x v="0"/>
    <s v="completed"/>
  </r>
  <r>
    <n v="202400384"/>
    <x v="165"/>
    <n v="2024"/>
    <x v="2"/>
    <n v="2"/>
    <x v="18"/>
    <s v="Marie Tanaka"/>
    <x v="0"/>
    <s v="Brazil"/>
    <x v="1"/>
    <x v="3"/>
    <n v="9"/>
    <n v="1070.23"/>
    <n v="9632.07"/>
    <s v="Medium"/>
    <x v="2"/>
    <s v="completed"/>
  </r>
  <r>
    <n v="202400455"/>
    <x v="2"/>
    <n v="2024"/>
    <x v="1"/>
    <n v="5"/>
    <x v="25"/>
    <s v="Sophie Martin"/>
    <x v="3"/>
    <s v="Canada"/>
    <x v="2"/>
    <x v="5"/>
    <n v="2"/>
    <n v="1786.67"/>
    <n v="3573.34"/>
    <s v="Single"/>
    <x v="2"/>
    <s v="shipped"/>
  </r>
  <r>
    <n v="202400265"/>
    <x v="97"/>
    <n v="2024"/>
    <x v="1"/>
    <n v="4"/>
    <x v="11"/>
    <s v="Paul Martin"/>
    <x v="0"/>
    <s v="Spain"/>
    <x v="0"/>
    <x v="14"/>
    <n v="14"/>
    <n v="1096.43"/>
    <n v="15350.02"/>
    <s v="Bulk"/>
    <x v="2"/>
    <s v="completed"/>
  </r>
  <r>
    <n v="202400778"/>
    <x v="149"/>
    <n v="2024"/>
    <x v="0"/>
    <n v="12"/>
    <x v="46"/>
    <s v="Marie Martin"/>
    <x v="3"/>
    <s v="Canada"/>
    <x v="2"/>
    <x v="10"/>
    <n v="6"/>
    <n v="1707.83"/>
    <n v="10246.98"/>
    <s v="Medium"/>
    <x v="0"/>
    <s v="completed"/>
  </r>
  <r>
    <n v="202401003"/>
    <x v="233"/>
    <n v="2024"/>
    <x v="0"/>
    <n v="12"/>
    <x v="35"/>
    <s v="John Rodriguez"/>
    <x v="2"/>
    <s v="USA"/>
    <x v="2"/>
    <x v="12"/>
    <n v="3"/>
    <n v="745.36"/>
    <n v="2236.08"/>
    <s v="Medium"/>
    <x v="1"/>
    <s v="completed"/>
  </r>
  <r>
    <n v="202400445"/>
    <x v="82"/>
    <n v="2024"/>
    <x v="1"/>
    <n v="6"/>
    <x v="65"/>
    <s v="Lucas Muller"/>
    <x v="1"/>
    <s v="Germany"/>
    <x v="0"/>
    <x v="8"/>
    <n v="13"/>
    <n v="462.75"/>
    <n v="6015.75"/>
    <s v="Bulk"/>
    <x v="3"/>
    <s v="completed"/>
  </r>
  <r>
    <n v="202400396"/>
    <x v="94"/>
    <n v="2024"/>
    <x v="3"/>
    <n v="7"/>
    <x v="63"/>
    <s v="Lucas Chen"/>
    <x v="1"/>
    <s v="Italy"/>
    <x v="0"/>
    <x v="4"/>
    <n v="11"/>
    <n v="1894.54"/>
    <n v="20839.939999999999"/>
    <s v="Bulk"/>
    <x v="3"/>
    <s v="completed"/>
  </r>
  <r>
    <n v="202400865"/>
    <x v="68"/>
    <n v="2024"/>
    <x v="3"/>
    <n v="9"/>
    <x v="42"/>
    <s v="Lisa Martin"/>
    <x v="0"/>
    <s v="Mexico"/>
    <x v="1"/>
    <x v="12"/>
    <n v="2"/>
    <n v="1432.2"/>
    <n v="2864.4"/>
    <s v="Single"/>
    <x v="1"/>
    <s v="cancelled"/>
  </r>
  <r>
    <n v="202400177"/>
    <x v="58"/>
    <n v="2024"/>
    <x v="3"/>
    <n v="9"/>
    <x v="79"/>
    <s v="Pierre Smith"/>
    <x v="0"/>
    <s v="Netherlands"/>
    <x v="0"/>
    <x v="14"/>
    <n v="11"/>
    <n v="710.78"/>
    <n v="7818.58"/>
    <s v="Bulk"/>
    <x v="0"/>
    <s v="completed"/>
  </r>
  <r>
    <n v="202400019"/>
    <x v="75"/>
    <n v="2024"/>
    <x v="2"/>
    <n v="1"/>
    <x v="50"/>
    <s v="Marie Chen"/>
    <x v="3"/>
    <s v="France"/>
    <x v="0"/>
    <x v="14"/>
    <n v="5"/>
    <n v="1962.65"/>
    <n v="9813.25"/>
    <s v="Medium"/>
    <x v="1"/>
    <s v="shipped"/>
  </r>
  <r>
    <n v="202400723"/>
    <x v="298"/>
    <n v="2024"/>
    <x v="3"/>
    <n v="9"/>
    <x v="22"/>
    <s v="Nora Muller"/>
    <x v="0"/>
    <s v="Japan"/>
    <x v="3"/>
    <x v="11"/>
    <n v="13"/>
    <n v="1937.82"/>
    <n v="25191.66"/>
    <s v="Bulk"/>
    <x v="3"/>
    <s v="shipped"/>
  </r>
  <r>
    <n v="202400833"/>
    <x v="131"/>
    <n v="2024"/>
    <x v="3"/>
    <n v="7"/>
    <x v="13"/>
    <s v="Nora Brown"/>
    <x v="3"/>
    <s v="Italy"/>
    <x v="0"/>
    <x v="1"/>
    <n v="13"/>
    <n v="1634.43"/>
    <n v="21247.59"/>
    <s v="Bulk"/>
    <x v="0"/>
    <s v="completed"/>
  </r>
  <r>
    <n v="202400062"/>
    <x v="87"/>
    <n v="2024"/>
    <x v="3"/>
    <n v="7"/>
    <x v="24"/>
    <s v="Lucas Tanaka"/>
    <x v="1"/>
    <s v="Mexico"/>
    <x v="1"/>
    <x v="5"/>
    <n v="7"/>
    <n v="376.88"/>
    <n v="2638.16"/>
    <s v="Medium"/>
    <x v="0"/>
    <s v="shipped"/>
  </r>
  <r>
    <n v="202400273"/>
    <x v="64"/>
    <n v="2024"/>
    <x v="1"/>
    <n v="6"/>
    <x v="1"/>
    <s v="Carlos Muller"/>
    <x v="1"/>
    <s v="Netherlands"/>
    <x v="0"/>
    <x v="0"/>
    <n v="7"/>
    <n v="1435.9"/>
    <n v="10051.300000000001"/>
    <s v="Medium"/>
    <x v="2"/>
    <s v="pending"/>
  </r>
  <r>
    <n v="202401137"/>
    <x v="303"/>
    <n v="2024"/>
    <x v="1"/>
    <n v="6"/>
    <x v="64"/>
    <s v="Maria Wilson"/>
    <x v="2"/>
    <s v="Germany"/>
    <x v="0"/>
    <x v="14"/>
    <n v="5"/>
    <n v="1779.27"/>
    <n v="8896.35"/>
    <s v="Medium"/>
    <x v="3"/>
    <s v="completed"/>
  </r>
  <r>
    <n v="202400279"/>
    <x v="299"/>
    <n v="2024"/>
    <x v="1"/>
    <n v="6"/>
    <x v="34"/>
    <s v="Anna Garcia"/>
    <x v="0"/>
    <s v="Germany"/>
    <x v="0"/>
    <x v="14"/>
    <n v="4"/>
    <n v="1934.11"/>
    <n v="7736.44"/>
    <s v="Medium"/>
    <x v="2"/>
    <s v="shipped"/>
  </r>
  <r>
    <n v="202401184"/>
    <x v="166"/>
    <n v="2024"/>
    <x v="2"/>
    <n v="3"/>
    <x v="12"/>
    <s v="Nora Tanaka"/>
    <x v="3"/>
    <s v="France"/>
    <x v="0"/>
    <x v="8"/>
    <n v="14"/>
    <n v="597.42999999999995"/>
    <n v="8364.0199999999986"/>
    <s v="Bulk"/>
    <x v="2"/>
    <s v="completed"/>
  </r>
  <r>
    <n v="202400369"/>
    <x v="304"/>
    <n v="2024"/>
    <x v="0"/>
    <n v="10"/>
    <x v="8"/>
    <s v="Julia Johnson"/>
    <x v="2"/>
    <s v="France"/>
    <x v="0"/>
    <x v="7"/>
    <n v="14"/>
    <n v="1393.97"/>
    <n v="19515.580000000002"/>
    <s v="Bulk"/>
    <x v="1"/>
    <s v="completed"/>
  </r>
  <r>
    <n v="202400907"/>
    <x v="126"/>
    <n v="2024"/>
    <x v="1"/>
    <n v="4"/>
    <x v="45"/>
    <s v="Pierre Wilson"/>
    <x v="3"/>
    <s v="Australia"/>
    <x v="3"/>
    <x v="12"/>
    <n v="13"/>
    <n v="1211.52"/>
    <n v="15749.76"/>
    <s v="Bulk"/>
    <x v="3"/>
    <s v="completed"/>
  </r>
  <r>
    <n v="202400838"/>
    <x v="305"/>
    <n v="2024"/>
    <x v="3"/>
    <n v="9"/>
    <x v="4"/>
    <s v="Maria Smith"/>
    <x v="1"/>
    <s v="Italy"/>
    <x v="0"/>
    <x v="6"/>
    <n v="11"/>
    <n v="1530.73"/>
    <n v="16838.03"/>
    <s v="Bulk"/>
    <x v="2"/>
    <s v="shipped"/>
  </r>
  <r>
    <n v="202401031"/>
    <x v="200"/>
    <n v="2024"/>
    <x v="2"/>
    <n v="2"/>
    <x v="34"/>
    <s v="Anna Garcia"/>
    <x v="0"/>
    <s v="Germany"/>
    <x v="0"/>
    <x v="5"/>
    <n v="1"/>
    <n v="316.39999999999998"/>
    <n v="316.39999999999998"/>
    <s v="Single"/>
    <x v="2"/>
    <s v="completed"/>
  </r>
  <r>
    <n v="202400738"/>
    <x v="62"/>
    <n v="2024"/>
    <x v="1"/>
    <n v="4"/>
    <x v="17"/>
    <s v="Maria Johnson"/>
    <x v="0"/>
    <s v="Brazil"/>
    <x v="1"/>
    <x v="3"/>
    <n v="12"/>
    <n v="1745.23"/>
    <n v="20942.760000000002"/>
    <s v="Bulk"/>
    <x v="0"/>
    <s v="completed"/>
  </r>
  <r>
    <n v="202400799"/>
    <x v="38"/>
    <n v="2024"/>
    <x v="2"/>
    <n v="3"/>
    <x v="53"/>
    <s v="Nora Muller"/>
    <x v="3"/>
    <s v="USA"/>
    <x v="2"/>
    <x v="6"/>
    <n v="9"/>
    <n v="1838.25"/>
    <n v="16544.25"/>
    <s v="Medium"/>
    <x v="1"/>
    <s v="completed"/>
  </r>
  <r>
    <n v="202400548"/>
    <x v="48"/>
    <n v="2024"/>
    <x v="3"/>
    <n v="8"/>
    <x v="25"/>
    <s v="Sophie Martin"/>
    <x v="3"/>
    <s v="Canada"/>
    <x v="2"/>
    <x v="13"/>
    <n v="10"/>
    <n v="868.83"/>
    <n v="8688.3000000000011"/>
    <s v="Bulk"/>
    <x v="2"/>
    <s v="cancelled"/>
  </r>
  <r>
    <n v="202400900"/>
    <x v="122"/>
    <n v="2024"/>
    <x v="1"/>
    <n v="6"/>
    <x v="55"/>
    <s v="Sarah Johnson"/>
    <x v="2"/>
    <s v="Germany"/>
    <x v="0"/>
    <x v="11"/>
    <n v="1"/>
    <n v="547.37"/>
    <n v="547.37"/>
    <s v="Single"/>
    <x v="1"/>
    <s v="completed"/>
  </r>
  <r>
    <n v="202400689"/>
    <x v="238"/>
    <n v="2024"/>
    <x v="3"/>
    <n v="8"/>
    <x v="50"/>
    <s v="Marie Chen"/>
    <x v="3"/>
    <s v="France"/>
    <x v="0"/>
    <x v="2"/>
    <n v="12"/>
    <n v="838.33"/>
    <n v="10059.960000000001"/>
    <s v="Bulk"/>
    <x v="1"/>
    <s v="completed"/>
  </r>
  <r>
    <n v="202400921"/>
    <x v="123"/>
    <n v="2024"/>
    <x v="0"/>
    <n v="12"/>
    <x v="8"/>
    <s v="Julia Johnson"/>
    <x v="2"/>
    <s v="France"/>
    <x v="0"/>
    <x v="6"/>
    <n v="5"/>
    <n v="1599.82"/>
    <n v="7999.0999999999995"/>
    <s v="Medium"/>
    <x v="2"/>
    <s v="completed"/>
  </r>
  <r>
    <n v="202400457"/>
    <x v="306"/>
    <n v="2024"/>
    <x v="0"/>
    <n v="12"/>
    <x v="53"/>
    <s v="Nora Muller"/>
    <x v="3"/>
    <s v="USA"/>
    <x v="2"/>
    <x v="1"/>
    <n v="5"/>
    <n v="1159.49"/>
    <n v="5797.45"/>
    <s v="Medium"/>
    <x v="2"/>
    <s v="completed"/>
  </r>
  <r>
    <n v="202400394"/>
    <x v="307"/>
    <n v="2024"/>
    <x v="2"/>
    <n v="1"/>
    <x v="43"/>
    <s v="James Garcia"/>
    <x v="2"/>
    <s v="Australia"/>
    <x v="3"/>
    <x v="6"/>
    <n v="4"/>
    <n v="259.60000000000002"/>
    <n v="1038.4000000000001"/>
    <s v="Medium"/>
    <x v="2"/>
    <s v="completed"/>
  </r>
  <r>
    <n v="202400676"/>
    <x v="157"/>
    <n v="2024"/>
    <x v="2"/>
    <n v="1"/>
    <x v="28"/>
    <s v="Julia Nilsson"/>
    <x v="3"/>
    <s v="Brazil"/>
    <x v="1"/>
    <x v="8"/>
    <n v="12"/>
    <n v="1276.47"/>
    <n v="15317.64"/>
    <s v="Bulk"/>
    <x v="2"/>
    <s v="completed"/>
  </r>
  <r>
    <n v="202400933"/>
    <x v="43"/>
    <n v="2024"/>
    <x v="0"/>
    <n v="10"/>
    <x v="30"/>
    <s v="Anna Dupont"/>
    <x v="3"/>
    <s v="Brazil"/>
    <x v="1"/>
    <x v="1"/>
    <n v="7"/>
    <n v="1229.3900000000001"/>
    <n v="8605.7300000000014"/>
    <s v="Medium"/>
    <x v="1"/>
    <s v="completed"/>
  </r>
  <r>
    <n v="202400987"/>
    <x v="133"/>
    <n v="2024"/>
    <x v="1"/>
    <n v="5"/>
    <x v="78"/>
    <s v="Emma Smith"/>
    <x v="0"/>
    <s v="Mexico"/>
    <x v="1"/>
    <x v="10"/>
    <n v="7"/>
    <n v="424.53"/>
    <n v="2971.71"/>
    <s v="Medium"/>
    <x v="0"/>
    <s v="completed"/>
  </r>
  <r>
    <n v="202400376"/>
    <x v="308"/>
    <n v="2024"/>
    <x v="3"/>
    <n v="8"/>
    <x v="1"/>
    <s v="Carlos Muller"/>
    <x v="1"/>
    <s v="Netherlands"/>
    <x v="0"/>
    <x v="2"/>
    <n v="5"/>
    <n v="1789.7"/>
    <n v="8948.5"/>
    <s v="Medium"/>
    <x v="2"/>
    <s v="pending "/>
  </r>
  <r>
    <n v="202400413"/>
    <x v="309"/>
    <n v="2024"/>
    <x v="2"/>
    <n v="1"/>
    <x v="59"/>
    <s v="Anna Nilsson"/>
    <x v="1"/>
    <s v="Spain"/>
    <x v="0"/>
    <x v="14"/>
    <n v="9"/>
    <n v="1742.76"/>
    <n v="15684.84"/>
    <s v="Medium"/>
    <x v="1"/>
    <s v="completed"/>
  </r>
  <r>
    <n v="202401133"/>
    <x v="310"/>
    <n v="2024"/>
    <x v="3"/>
    <n v="7"/>
    <x v="18"/>
    <s v="Marie Tanaka"/>
    <x v="0"/>
    <s v="Brazil"/>
    <x v="1"/>
    <x v="11"/>
    <n v="6"/>
    <n v="668.13"/>
    <n v="4008.7799999999997"/>
    <s v="Medium"/>
    <x v="3"/>
    <s v="cancelled"/>
  </r>
  <r>
    <n v="202400882"/>
    <x v="311"/>
    <n v="2024"/>
    <x v="0"/>
    <n v="10"/>
    <x v="75"/>
    <s v="Maria Muller"/>
    <x v="2"/>
    <s v="Australia"/>
    <x v="3"/>
    <x v="1"/>
    <n v="3"/>
    <n v="724.89"/>
    <n v="2174.67"/>
    <s v="Medium"/>
    <x v="1"/>
    <s v="completed"/>
  </r>
  <r>
    <n v="202400501"/>
    <x v="312"/>
    <n v="2024"/>
    <x v="1"/>
    <n v="4"/>
    <x v="57"/>
    <s v="Emma Johnson"/>
    <x v="1"/>
    <s v="Netherlands"/>
    <x v="0"/>
    <x v="0"/>
    <n v="1"/>
    <n v="728.32"/>
    <n v="728.32"/>
    <s v="Single"/>
    <x v="1"/>
    <s v="completed"/>
  </r>
  <r>
    <n v="202400819"/>
    <x v="286"/>
    <n v="2024"/>
    <x v="3"/>
    <n v="7"/>
    <x v="59"/>
    <s v="Anna Nilsson"/>
    <x v="1"/>
    <s v="Spain"/>
    <x v="0"/>
    <x v="10"/>
    <n v="3"/>
    <n v="1068.77"/>
    <n v="3206.31"/>
    <s v="Medium"/>
    <x v="2"/>
    <s v="completed"/>
  </r>
  <r>
    <n v="202400617"/>
    <x v="27"/>
    <n v="2024"/>
    <x v="1"/>
    <n v="6"/>
    <x v="28"/>
    <s v="Julia Nilsson"/>
    <x v="3"/>
    <s v="Brazil"/>
    <x v="1"/>
    <x v="13"/>
    <n v="2"/>
    <n v="1329.1"/>
    <n v="2658.2"/>
    <s v="Single"/>
    <x v="1"/>
    <s v="cancelled"/>
  </r>
  <r>
    <n v="202400115"/>
    <x v="86"/>
    <n v="2024"/>
    <x v="3"/>
    <n v="8"/>
    <x v="75"/>
    <s v="Maria Muller"/>
    <x v="2"/>
    <s v="Australia"/>
    <x v="3"/>
    <x v="7"/>
    <n v="4"/>
    <n v="1171.54"/>
    <n v="4686.16"/>
    <s v="Medium"/>
    <x v="3"/>
    <s v="refunded"/>
  </r>
  <r>
    <n v="202400602"/>
    <x v="100"/>
    <n v="2024"/>
    <x v="3"/>
    <n v="8"/>
    <x v="12"/>
    <s v="Nora Tanaka"/>
    <x v="3"/>
    <s v="France"/>
    <x v="0"/>
    <x v="10"/>
    <n v="4"/>
    <n v="1338.23"/>
    <n v="5352.92"/>
    <s v="Medium"/>
    <x v="2"/>
    <s v="completed"/>
  </r>
  <r>
    <n v="202400605"/>
    <x v="87"/>
    <n v="2024"/>
    <x v="3"/>
    <n v="7"/>
    <x v="74"/>
    <s v="Lisa Nilsson"/>
    <x v="3"/>
    <s v="France"/>
    <x v="0"/>
    <x v="1"/>
    <n v="5"/>
    <n v="833.37"/>
    <n v="4166.8500000000004"/>
    <s v="Medium"/>
    <x v="1"/>
    <s v="completed"/>
  </r>
  <r>
    <n v="202400090"/>
    <x v="209"/>
    <n v="2024"/>
    <x v="0"/>
    <n v="11"/>
    <x v="39"/>
    <s v="John Chen"/>
    <x v="2"/>
    <s v="Germany"/>
    <x v="0"/>
    <x v="5"/>
    <n v="12"/>
    <n v="1974.28"/>
    <n v="23691.360000000001"/>
    <s v="Bulk"/>
    <x v="2"/>
    <s v="completed"/>
  </r>
  <r>
    <n v="202401160"/>
    <x v="313"/>
    <n v="2024"/>
    <x v="1"/>
    <n v="5"/>
    <x v="45"/>
    <s v="Pierre Wilson"/>
    <x v="3"/>
    <s v="Australia"/>
    <x v="3"/>
    <x v="6"/>
    <n v="11"/>
    <n v="951.93"/>
    <n v="10471.23"/>
    <s v="Bulk"/>
    <x v="1"/>
    <s v="completed"/>
  </r>
  <r>
    <n v="202400499"/>
    <x v="27"/>
    <n v="2024"/>
    <x v="1"/>
    <n v="6"/>
    <x v="21"/>
    <s v="Anna Johnson"/>
    <x v="1"/>
    <s v="Australia"/>
    <x v="3"/>
    <x v="13"/>
    <n v="12"/>
    <n v="1937.64"/>
    <n v="23251.68"/>
    <s v="Bulk"/>
    <x v="3"/>
    <s v="cancelled"/>
  </r>
  <r>
    <n v="202400967"/>
    <x v="46"/>
    <n v="2024"/>
    <x v="2"/>
    <n v="2"/>
    <x v="12"/>
    <s v="Nora Tanaka"/>
    <x v="3"/>
    <s v="France"/>
    <x v="0"/>
    <x v="2"/>
    <n v="10"/>
    <n v="996.23"/>
    <n v="9962.2999999999993"/>
    <s v="Bulk"/>
    <x v="2"/>
    <s v="shipped"/>
  </r>
  <r>
    <n v="202400903"/>
    <x v="314"/>
    <n v="2024"/>
    <x v="1"/>
    <n v="4"/>
    <x v="39"/>
    <s v="John Chen"/>
    <x v="2"/>
    <s v="Germany"/>
    <x v="0"/>
    <x v="4"/>
    <n v="6"/>
    <n v="704.2"/>
    <n v="4225.2000000000007"/>
    <s v="Medium"/>
    <x v="1"/>
    <s v="completed"/>
  </r>
  <r>
    <n v="202400901"/>
    <x v="101"/>
    <n v="2024"/>
    <x v="3"/>
    <n v="8"/>
    <x v="36"/>
    <s v="Lisa Chen"/>
    <x v="0"/>
    <s v="France"/>
    <x v="0"/>
    <x v="7"/>
    <n v="12"/>
    <n v="1320.05"/>
    <n v="15840.599999999999"/>
    <s v="Bulk"/>
    <x v="1"/>
    <s v="completed"/>
  </r>
  <r>
    <n v="202400012"/>
    <x v="266"/>
    <n v="2024"/>
    <x v="1"/>
    <n v="6"/>
    <x v="62"/>
    <s v="Paul Dupont"/>
    <x v="2"/>
    <s v="Netherlands"/>
    <x v="0"/>
    <x v="12"/>
    <n v="12"/>
    <n v="607.32000000000005"/>
    <n v="7287.84"/>
    <s v="Bulk"/>
    <x v="1"/>
    <s v="completed"/>
  </r>
  <r>
    <n v="202400397"/>
    <x v="155"/>
    <n v="2024"/>
    <x v="0"/>
    <n v="10"/>
    <x v="4"/>
    <s v="Maria Smith"/>
    <x v="1"/>
    <s v="Italy"/>
    <x v="0"/>
    <x v="14"/>
    <n v="7"/>
    <n v="1565.16"/>
    <n v="10956.12"/>
    <s v="Medium"/>
    <x v="1"/>
    <s v="cancelled"/>
  </r>
  <r>
    <n v="202400772"/>
    <x v="118"/>
    <n v="2024"/>
    <x v="2"/>
    <n v="3"/>
    <x v="59"/>
    <s v="Anna Nilsson"/>
    <x v="1"/>
    <s v="Spain"/>
    <x v="0"/>
    <x v="13"/>
    <n v="2"/>
    <n v="1395.15"/>
    <n v="2790.3"/>
    <s v="Single"/>
    <x v="1"/>
    <s v="completed"/>
  </r>
  <r>
    <n v="202400556"/>
    <x v="239"/>
    <n v="2024"/>
    <x v="1"/>
    <n v="6"/>
    <x v="41"/>
    <s v="Sophie Garcia"/>
    <x v="1"/>
    <s v="USA"/>
    <x v="2"/>
    <x v="11"/>
    <n v="4"/>
    <n v="620.92999999999995"/>
    <n v="2483.7199999999998"/>
    <s v="Medium"/>
    <x v="1"/>
    <s v="pending"/>
  </r>
  <r>
    <n v="202400043"/>
    <x v="249"/>
    <n v="2024"/>
    <x v="2"/>
    <n v="2"/>
    <x v="50"/>
    <s v="Marie Chen"/>
    <x v="3"/>
    <s v="France"/>
    <x v="0"/>
    <x v="13"/>
    <n v="11"/>
    <n v="1564.73"/>
    <n v="17212.03"/>
    <s v="Bulk"/>
    <x v="2"/>
    <s v="completed"/>
  </r>
  <r>
    <n v="202400168"/>
    <x v="233"/>
    <n v="2024"/>
    <x v="0"/>
    <n v="12"/>
    <x v="15"/>
    <s v="Anna Muller"/>
    <x v="1"/>
    <s v="Germany"/>
    <x v="0"/>
    <x v="7"/>
    <n v="3"/>
    <n v="423.78"/>
    <n v="1271.3399999999999"/>
    <s v="Medium"/>
    <x v="1"/>
    <s v="pending"/>
  </r>
  <r>
    <n v="202400417"/>
    <x v="315"/>
    <n v="2024"/>
    <x v="0"/>
    <n v="12"/>
    <x v="45"/>
    <s v="Pierre Wilson"/>
    <x v="3"/>
    <s v="Australia"/>
    <x v="3"/>
    <x v="7"/>
    <n v="14"/>
    <n v="1186.82"/>
    <n v="16615.48"/>
    <s v="Bulk"/>
    <x v="3"/>
    <s v="completed"/>
  </r>
  <r>
    <n v="202400577"/>
    <x v="109"/>
    <n v="2024"/>
    <x v="0"/>
    <n v="11"/>
    <x v="30"/>
    <s v="Anna Dupont"/>
    <x v="3"/>
    <s v="Brazil"/>
    <x v="1"/>
    <x v="4"/>
    <n v="11"/>
    <n v="1125.24"/>
    <n v="12377.64"/>
    <s v="Bulk"/>
    <x v="2"/>
    <s v="cancelled"/>
  </r>
  <r>
    <n v="202400268"/>
    <x v="126"/>
    <n v="2024"/>
    <x v="1"/>
    <n v="4"/>
    <x v="17"/>
    <s v="Maria Johnson"/>
    <x v="0"/>
    <s v="Brazil"/>
    <x v="1"/>
    <x v="10"/>
    <n v="9"/>
    <n v="160.38999999999999"/>
    <n v="1443.5099999999998"/>
    <s v="Medium"/>
    <x v="2"/>
    <s v="cancelled"/>
  </r>
  <r>
    <n v="202400826"/>
    <x v="289"/>
    <n v="2024"/>
    <x v="2"/>
    <n v="3"/>
    <x v="68"/>
    <s v="Nora Rodriguez"/>
    <x v="0"/>
    <s v="Mexico"/>
    <x v="1"/>
    <x v="8"/>
    <n v="11"/>
    <n v="396.87"/>
    <n v="4365.57"/>
    <s v="Bulk"/>
    <x v="1"/>
    <s v="completed"/>
  </r>
  <r>
    <n v="202400427"/>
    <x v="108"/>
    <n v="2024"/>
    <x v="0"/>
    <n v="11"/>
    <x v="7"/>
    <s v="Sophie Johnson"/>
    <x v="1"/>
    <s v="USA"/>
    <x v="2"/>
    <x v="11"/>
    <n v="9"/>
    <n v="950.02"/>
    <n v="8550.18"/>
    <s v="Medium"/>
    <x v="0"/>
    <s v="shipped"/>
  </r>
  <r>
    <n v="202400691"/>
    <x v="273"/>
    <n v="2024"/>
    <x v="0"/>
    <n v="11"/>
    <x v="20"/>
    <s v="Lucas Rossi"/>
    <x v="0"/>
    <s v="Australia"/>
    <x v="3"/>
    <x v="2"/>
    <n v="2"/>
    <n v="1400.17"/>
    <n v="2800.34"/>
    <s v="Single"/>
    <x v="3"/>
    <s v="completed"/>
  </r>
  <r>
    <n v="202400545"/>
    <x v="13"/>
    <n v="2024"/>
    <x v="1"/>
    <n v="6"/>
    <x v="79"/>
    <s v="Pierre Smith"/>
    <x v="0"/>
    <s v="Netherlands"/>
    <x v="0"/>
    <x v="8"/>
    <n v="14"/>
    <n v="1326.81"/>
    <n v="18575.34"/>
    <s v="Bulk"/>
    <x v="1"/>
    <s v="completed"/>
  </r>
  <r>
    <n v="202401134"/>
    <x v="258"/>
    <n v="2024"/>
    <x v="0"/>
    <n v="12"/>
    <x v="48"/>
    <s v="Paul Leclerc"/>
    <x v="3"/>
    <s v="Australia"/>
    <x v="3"/>
    <x v="9"/>
    <n v="7"/>
    <n v="1603.24"/>
    <n v="11222.68"/>
    <s v="Medium"/>
    <x v="1"/>
    <s v="completed"/>
  </r>
  <r>
    <n v="202400675"/>
    <x v="51"/>
    <n v="2024"/>
    <x v="3"/>
    <n v="8"/>
    <x v="58"/>
    <s v="Carlos Nilsson"/>
    <x v="0"/>
    <s v="Germany"/>
    <x v="0"/>
    <x v="14"/>
    <n v="14"/>
    <n v="1057.01"/>
    <n v="14798.14"/>
    <s v="Bulk"/>
    <x v="2"/>
    <s v="pending"/>
  </r>
  <r>
    <n v="202400690"/>
    <x v="99"/>
    <n v="2024"/>
    <x v="0"/>
    <n v="10"/>
    <x v="39"/>
    <s v="John Chen"/>
    <x v="2"/>
    <s v="Germany"/>
    <x v="0"/>
    <x v="2"/>
    <n v="8"/>
    <n v="868.63"/>
    <n v="6949.04"/>
    <s v="Medium"/>
    <x v="2"/>
    <s v="cancelled"/>
  </r>
  <r>
    <n v="202401066"/>
    <x v="264"/>
    <n v="2024"/>
    <x v="2"/>
    <n v="3"/>
    <x v="43"/>
    <s v="James Garcia"/>
    <x v="2"/>
    <s v="Australia"/>
    <x v="3"/>
    <x v="6"/>
    <n v="9"/>
    <n v="1812.68"/>
    <n v="16314.12"/>
    <s v="Medium"/>
    <x v="0"/>
    <s v="shipped"/>
  </r>
  <r>
    <n v="202401188"/>
    <x v="195"/>
    <n v="2024"/>
    <x v="2"/>
    <n v="1"/>
    <x v="3"/>
    <s v="Carlos Tanaka"/>
    <x v="2"/>
    <s v="Italy"/>
    <x v="0"/>
    <x v="7"/>
    <n v="4"/>
    <n v="90.59"/>
    <n v="362.36"/>
    <s v="Medium"/>
    <x v="2"/>
    <s v="completed"/>
  </r>
  <r>
    <n v="202401005"/>
    <x v="302"/>
    <n v="2024"/>
    <x v="2"/>
    <n v="3"/>
    <x v="32"/>
    <s v="Marie Nilsson"/>
    <x v="1"/>
    <s v="Brazil"/>
    <x v="1"/>
    <x v="11"/>
    <n v="7"/>
    <n v="1812.01"/>
    <n v="12684.07"/>
    <s v="Medium"/>
    <x v="1"/>
    <s v="completed"/>
  </r>
  <r>
    <n v="202400904"/>
    <x v="267"/>
    <n v="2024"/>
    <x v="2"/>
    <n v="3"/>
    <x v="58"/>
    <s v="Carlos Nilsson"/>
    <x v="0"/>
    <s v="Germany"/>
    <x v="0"/>
    <x v="8"/>
    <n v="6"/>
    <n v="1570.67"/>
    <n v="9424.02"/>
    <s v="Medium"/>
    <x v="0"/>
    <s v="pending "/>
  </r>
  <r>
    <n v="202400258"/>
    <x v="66"/>
    <n v="2024"/>
    <x v="3"/>
    <n v="8"/>
    <x v="29"/>
    <s v="Nora Tanaka"/>
    <x v="3"/>
    <s v="Canada"/>
    <x v="2"/>
    <x v="11"/>
    <n v="5"/>
    <n v="653.74"/>
    <n v="3268.7"/>
    <s v="Medium"/>
    <x v="3"/>
    <s v="cancelled"/>
  </r>
  <r>
    <n v="202400336"/>
    <x v="0"/>
    <n v="2024"/>
    <x v="0"/>
    <n v="11"/>
    <x v="60"/>
    <s v="Anna Rossi"/>
    <x v="0"/>
    <s v="Italy"/>
    <x v="0"/>
    <x v="6"/>
    <n v="11"/>
    <n v="1396.48"/>
    <n v="15361.28"/>
    <s v="Bulk"/>
    <x v="1"/>
    <s v="completed"/>
  </r>
  <r>
    <n v="202400016"/>
    <x v="168"/>
    <n v="2024"/>
    <x v="3"/>
    <n v="7"/>
    <x v="48"/>
    <s v="Paul Leclerc"/>
    <x v="3"/>
    <s v="Australia"/>
    <x v="3"/>
    <x v="1"/>
    <n v="7"/>
    <n v="837.08"/>
    <n v="5859.56"/>
    <s v="Medium"/>
    <x v="0"/>
    <s v="completed"/>
  </r>
  <r>
    <n v="202400923"/>
    <x v="66"/>
    <n v="2024"/>
    <x v="3"/>
    <n v="8"/>
    <x v="33"/>
    <s v="Sarah Rodriguez"/>
    <x v="0"/>
    <s v="Australia"/>
    <x v="3"/>
    <x v="5"/>
    <n v="1"/>
    <n v="112.62"/>
    <n v="112.62"/>
    <s v="Single"/>
    <x v="1"/>
    <s v="completed"/>
  </r>
  <r>
    <n v="202400325"/>
    <x v="51"/>
    <n v="2024"/>
    <x v="3"/>
    <n v="8"/>
    <x v="14"/>
    <s v="Sophie Nilsson"/>
    <x v="2"/>
    <s v="Japan"/>
    <x v="3"/>
    <x v="5"/>
    <n v="3"/>
    <n v="130.37"/>
    <n v="391.11"/>
    <s v="Medium"/>
    <x v="2"/>
    <s v="shipped"/>
  </r>
  <r>
    <n v="202400608"/>
    <x v="87"/>
    <n v="2024"/>
    <x v="3"/>
    <n v="7"/>
    <x v="9"/>
    <s v="Maria Martin"/>
    <x v="1"/>
    <s v="Germany"/>
    <x v="0"/>
    <x v="4"/>
    <n v="11"/>
    <n v="1257.01"/>
    <n v="13827.11"/>
    <s v="Bulk"/>
    <x v="2"/>
    <s v="completed"/>
  </r>
  <r>
    <n v="202400809"/>
    <x v="316"/>
    <n v="2024"/>
    <x v="3"/>
    <n v="8"/>
    <x v="21"/>
    <s v="Anna Johnson"/>
    <x v="1"/>
    <s v="Australia"/>
    <x v="3"/>
    <x v="0"/>
    <n v="10"/>
    <n v="639.11"/>
    <n v="6391.1"/>
    <s v="Bulk"/>
    <x v="0"/>
    <s v="completed"/>
  </r>
  <r>
    <n v="202400223"/>
    <x v="177"/>
    <n v="2024"/>
    <x v="3"/>
    <n v="7"/>
    <x v="15"/>
    <s v="Anna Muller"/>
    <x v="1"/>
    <s v="Germany"/>
    <x v="0"/>
    <x v="2"/>
    <n v="3"/>
    <n v="147.21"/>
    <n v="441.63"/>
    <s v="Medium"/>
    <x v="2"/>
    <s v="shipped"/>
  </r>
  <r>
    <n v="202400180"/>
    <x v="22"/>
    <n v="2024"/>
    <x v="1"/>
    <n v="4"/>
    <x v="53"/>
    <s v="Nora Muller"/>
    <x v="3"/>
    <s v="USA"/>
    <x v="2"/>
    <x v="3"/>
    <n v="10"/>
    <n v="1232.1099999999999"/>
    <n v="12321.099999999999"/>
    <s v="Bulk"/>
    <x v="2"/>
    <s v="completed"/>
  </r>
  <r>
    <n v="202400100"/>
    <x v="244"/>
    <n v="2024"/>
    <x v="1"/>
    <n v="4"/>
    <x v="9"/>
    <s v="Maria Martin"/>
    <x v="1"/>
    <s v="Germany"/>
    <x v="0"/>
    <x v="1"/>
    <n v="10"/>
    <n v="1505.29"/>
    <n v="15052.9"/>
    <s v="Bulk"/>
    <x v="1"/>
    <s v="refunded"/>
  </r>
  <r>
    <n v="202400522"/>
    <x v="42"/>
    <n v="2024"/>
    <x v="1"/>
    <n v="5"/>
    <x v="4"/>
    <s v="Maria Smith"/>
    <x v="1"/>
    <s v="Italy"/>
    <x v="0"/>
    <x v="2"/>
    <n v="9"/>
    <n v="1398.51"/>
    <n v="12586.59"/>
    <s v="Medium"/>
    <x v="1"/>
    <s v="pending"/>
  </r>
  <r>
    <n v="202400023"/>
    <x v="200"/>
    <n v="2024"/>
    <x v="2"/>
    <n v="2"/>
    <x v="22"/>
    <s v="Nora Muller"/>
    <x v="0"/>
    <s v="Japan"/>
    <x v="3"/>
    <x v="12"/>
    <n v="10"/>
    <n v="856.48"/>
    <n v="8564.7999999999993"/>
    <s v="Bulk"/>
    <x v="1"/>
    <s v="completed"/>
  </r>
  <r>
    <n v="202400357"/>
    <x v="82"/>
    <n v="2024"/>
    <x v="1"/>
    <n v="6"/>
    <x v="56"/>
    <s v="Lisa Chen"/>
    <x v="2"/>
    <s v="Spain"/>
    <x v="0"/>
    <x v="10"/>
    <n v="9"/>
    <n v="1802.81"/>
    <n v="16225.289999999999"/>
    <s v="Medium"/>
    <x v="2"/>
    <s v="shipped"/>
  </r>
  <r>
    <n v="202400734"/>
    <x v="306"/>
    <n v="2024"/>
    <x v="0"/>
    <n v="12"/>
    <x v="48"/>
    <s v="Paul Leclerc"/>
    <x v="3"/>
    <s v="Australia"/>
    <x v="3"/>
    <x v="10"/>
    <n v="5"/>
    <n v="1454.09"/>
    <n v="7270.45"/>
    <s v="Medium"/>
    <x v="0"/>
    <s v="completed"/>
  </r>
  <r>
    <n v="202400983"/>
    <x v="317"/>
    <n v="2024"/>
    <x v="1"/>
    <n v="4"/>
    <x v="72"/>
    <s v="Sophie Brown"/>
    <x v="1"/>
    <s v="Australia"/>
    <x v="3"/>
    <x v="4"/>
    <n v="14"/>
    <n v="1263.53"/>
    <n v="17689.419999999998"/>
    <s v="Bulk"/>
    <x v="0"/>
    <s v="refunded"/>
  </r>
  <r>
    <n v="202401123"/>
    <x v="273"/>
    <n v="2024"/>
    <x v="0"/>
    <n v="11"/>
    <x v="43"/>
    <s v="James Garcia"/>
    <x v="2"/>
    <s v="Australia"/>
    <x v="3"/>
    <x v="4"/>
    <n v="7"/>
    <n v="1795.01"/>
    <n v="12565.07"/>
    <s v="Medium"/>
    <x v="0"/>
    <s v="completed"/>
  </r>
  <r>
    <n v="202400612"/>
    <x v="136"/>
    <n v="2024"/>
    <x v="0"/>
    <n v="10"/>
    <x v="24"/>
    <s v="Lucas Tanaka"/>
    <x v="1"/>
    <s v="Mexico"/>
    <x v="1"/>
    <x v="11"/>
    <n v="14"/>
    <n v="1554.89"/>
    <n v="21768.460000000003"/>
    <s v="Bulk"/>
    <x v="2"/>
    <s v="completed"/>
  </r>
  <r>
    <n v="202401030"/>
    <x v="52"/>
    <n v="2024"/>
    <x v="2"/>
    <n v="2"/>
    <x v="50"/>
    <s v="Marie Chen"/>
    <x v="3"/>
    <s v="France"/>
    <x v="0"/>
    <x v="14"/>
    <n v="9"/>
    <n v="1585.15"/>
    <n v="14266.35"/>
    <s v="Medium"/>
    <x v="1"/>
    <s v="shipped"/>
  </r>
  <r>
    <n v="202400341"/>
    <x v="318"/>
    <n v="2024"/>
    <x v="2"/>
    <n v="3"/>
    <x v="15"/>
    <s v="Anna Muller"/>
    <x v="1"/>
    <s v="Germany"/>
    <x v="0"/>
    <x v="2"/>
    <n v="11"/>
    <n v="1151.06"/>
    <n v="12661.66"/>
    <s v="Bulk"/>
    <x v="3"/>
    <s v="completed"/>
  </r>
  <r>
    <n v="202400432"/>
    <x v="167"/>
    <n v="2024"/>
    <x v="0"/>
    <n v="10"/>
    <x v="71"/>
    <s v="Carlos Dupont"/>
    <x v="0"/>
    <s v="Netherlands"/>
    <x v="0"/>
    <x v="0"/>
    <n v="11"/>
    <n v="647.92999999999995"/>
    <n v="7127.23"/>
    <s v="Bulk"/>
    <x v="1"/>
    <s v="cancelled"/>
  </r>
  <r>
    <n v="202400963"/>
    <x v="120"/>
    <n v="2024"/>
    <x v="1"/>
    <n v="4"/>
    <x v="76"/>
    <s v="Sophie Brown"/>
    <x v="1"/>
    <s v="USA"/>
    <x v="2"/>
    <x v="7"/>
    <n v="12"/>
    <n v="725.27"/>
    <n v="8703.24"/>
    <s v="Bulk"/>
    <x v="1"/>
    <s v="completed"/>
  </r>
  <r>
    <n v="202400218"/>
    <x v="319"/>
    <n v="2024"/>
    <x v="0"/>
    <n v="11"/>
    <x v="34"/>
    <s v="Anna Garcia"/>
    <x v="0"/>
    <s v="Germany"/>
    <x v="0"/>
    <x v="10"/>
    <n v="10"/>
    <n v="1808.45"/>
    <n v="18084.5"/>
    <s v="Bulk"/>
    <x v="2"/>
    <s v="shipped"/>
  </r>
  <r>
    <n v="202400204"/>
    <x v="123"/>
    <n v="2024"/>
    <x v="0"/>
    <n v="12"/>
    <x v="29"/>
    <s v="Nora Tanaka"/>
    <x v="3"/>
    <s v="Canada"/>
    <x v="2"/>
    <x v="0"/>
    <n v="14"/>
    <n v="1171.8"/>
    <n v="16405.2"/>
    <s v="Bulk"/>
    <x v="2"/>
    <s v="completed"/>
  </r>
  <r>
    <n v="202400927"/>
    <x v="71"/>
    <n v="2024"/>
    <x v="0"/>
    <n v="11"/>
    <x v="24"/>
    <s v="Lucas Tanaka"/>
    <x v="1"/>
    <s v="Mexico"/>
    <x v="1"/>
    <x v="2"/>
    <n v="14"/>
    <n v="858.34"/>
    <n v="12016.76"/>
    <s v="Bulk"/>
    <x v="2"/>
    <s v="completed"/>
  </r>
  <r>
    <n v="202400944"/>
    <x v="314"/>
    <n v="2024"/>
    <x v="1"/>
    <n v="4"/>
    <x v="41"/>
    <s v="Sophie Garcia"/>
    <x v="1"/>
    <s v="USA"/>
    <x v="2"/>
    <x v="0"/>
    <n v="6"/>
    <n v="1414.4"/>
    <n v="8486.4000000000015"/>
    <s v="Medium"/>
    <x v="0"/>
    <s v="shipped"/>
  </r>
  <r>
    <n v="202400094"/>
    <x v="308"/>
    <n v="2024"/>
    <x v="3"/>
    <n v="8"/>
    <x v="48"/>
    <s v="Paul Leclerc"/>
    <x v="3"/>
    <s v="Australia"/>
    <x v="3"/>
    <x v="5"/>
    <n v="6"/>
    <n v="630.34"/>
    <n v="3782.04"/>
    <s v="Medium"/>
    <x v="3"/>
    <s v="completed"/>
  </r>
  <r>
    <n v="202400925"/>
    <x v="190"/>
    <n v="2024"/>
    <x v="1"/>
    <n v="6"/>
    <x v="39"/>
    <s v="John Chen"/>
    <x v="2"/>
    <s v="Germany"/>
    <x v="0"/>
    <x v="1"/>
    <n v="7"/>
    <n v="1739.83"/>
    <n v="12178.81"/>
    <s v="Medium"/>
    <x v="2"/>
    <s v="completed"/>
  </r>
  <r>
    <n v="202400069"/>
    <x v="320"/>
    <n v="2024"/>
    <x v="0"/>
    <n v="11"/>
    <x v="12"/>
    <s v="Nora Tanaka"/>
    <x v="3"/>
    <s v="France"/>
    <x v="0"/>
    <x v="13"/>
    <n v="3"/>
    <n v="702.01"/>
    <n v="2106.0299999999997"/>
    <s v="Medium"/>
    <x v="2"/>
    <s v="completed"/>
  </r>
  <r>
    <n v="202400285"/>
    <x v="199"/>
    <n v="2024"/>
    <x v="1"/>
    <n v="6"/>
    <x v="2"/>
    <s v="John Wilson"/>
    <x v="0"/>
    <s v="Mexico"/>
    <x v="1"/>
    <x v="1"/>
    <n v="3"/>
    <n v="1277.95"/>
    <n v="3833.8500000000004"/>
    <s v="Medium"/>
    <x v="3"/>
    <s v="completed"/>
  </r>
  <r>
    <n v="202400697"/>
    <x v="178"/>
    <n v="2024"/>
    <x v="0"/>
    <n v="10"/>
    <x v="42"/>
    <s v="Lisa Martin"/>
    <x v="0"/>
    <s v="Mexico"/>
    <x v="1"/>
    <x v="12"/>
    <n v="13"/>
    <n v="770.24"/>
    <n v="10013.120000000001"/>
    <s v="Bulk"/>
    <x v="2"/>
    <s v="cancelled"/>
  </r>
  <r>
    <n v="202400086"/>
    <x v="304"/>
    <n v="2024"/>
    <x v="0"/>
    <n v="10"/>
    <x v="65"/>
    <s v="Lucas Muller"/>
    <x v="1"/>
    <s v="Germany"/>
    <x v="0"/>
    <x v="5"/>
    <n v="0"/>
    <n v="695.32"/>
    <n v="0"/>
    <s v="Single"/>
    <x v="2"/>
    <s v="completed"/>
  </r>
  <r>
    <n v="202400435"/>
    <x v="253"/>
    <n v="2024"/>
    <x v="2"/>
    <n v="2"/>
    <x v="22"/>
    <s v="Nora Muller"/>
    <x v="0"/>
    <s v="Japan"/>
    <x v="3"/>
    <x v="6"/>
    <n v="10"/>
    <n v="1683.21"/>
    <n v="16832.099999999999"/>
    <s v="Bulk"/>
    <x v="3"/>
    <s v="completed"/>
  </r>
  <r>
    <n v="202400815"/>
    <x v="95"/>
    <n v="2024"/>
    <x v="2"/>
    <n v="3"/>
    <x v="10"/>
    <s v="John Garcia"/>
    <x v="3"/>
    <s v="Brazil"/>
    <x v="1"/>
    <x v="2"/>
    <n v="5"/>
    <n v="1203.47"/>
    <n v="6017.35"/>
    <s v="Medium"/>
    <x v="3"/>
    <s v="completed"/>
  </r>
  <r>
    <n v="202400154"/>
    <x v="290"/>
    <n v="2024"/>
    <x v="0"/>
    <n v="10"/>
    <x v="53"/>
    <s v="Nora Muller"/>
    <x v="3"/>
    <s v="USA"/>
    <x v="2"/>
    <x v="12"/>
    <n v="8"/>
    <n v="1174.93"/>
    <n v="9399.44"/>
    <s v="Medium"/>
    <x v="0"/>
    <s v="shipped"/>
  </r>
  <r>
    <n v="202400076"/>
    <x v="211"/>
    <n v="2024"/>
    <x v="1"/>
    <n v="4"/>
    <x v="25"/>
    <s v="Sophie Martin"/>
    <x v="3"/>
    <s v="Canada"/>
    <x v="2"/>
    <x v="14"/>
    <n v="12"/>
    <n v="1597.11"/>
    <n v="19165.32"/>
    <s v="Bulk"/>
    <x v="1"/>
    <s v="completed"/>
  </r>
  <r>
    <n v="202401054"/>
    <x v="188"/>
    <n v="2024"/>
    <x v="1"/>
    <n v="5"/>
    <x v="68"/>
    <s v="Nora Rodriguez"/>
    <x v="0"/>
    <s v="Mexico"/>
    <x v="1"/>
    <x v="0"/>
    <n v="2"/>
    <n v="1805.19"/>
    <n v="3610.38"/>
    <s v="Single"/>
    <x v="3"/>
    <s v="completed"/>
  </r>
  <r>
    <n v="202400581"/>
    <x v="207"/>
    <n v="2024"/>
    <x v="0"/>
    <n v="12"/>
    <x v="8"/>
    <s v="Julia Johnson"/>
    <x v="2"/>
    <s v="France"/>
    <x v="0"/>
    <x v="3"/>
    <n v="14"/>
    <n v="1073.48"/>
    <n v="15028.720000000001"/>
    <s v="Bulk"/>
    <x v="2"/>
    <s v="completed"/>
  </r>
  <r>
    <n v="202400447"/>
    <x v="10"/>
    <n v="2024"/>
    <x v="0"/>
    <n v="11"/>
    <x v="5"/>
    <s v="James Nilsson"/>
    <x v="1"/>
    <s v="Italy"/>
    <x v="0"/>
    <x v="3"/>
    <n v="10"/>
    <n v="1648.23"/>
    <n v="16482.3"/>
    <s v="Bulk"/>
    <x v="2"/>
    <s v="completed"/>
  </r>
  <r>
    <n v="202400704"/>
    <x v="97"/>
    <n v="2024"/>
    <x v="1"/>
    <n v="4"/>
    <x v="58"/>
    <s v="Carlos Nilsson"/>
    <x v="0"/>
    <s v="Germany"/>
    <x v="0"/>
    <x v="8"/>
    <n v="1"/>
    <n v="195.69"/>
    <n v="195.69"/>
    <s v="Single"/>
    <x v="1"/>
    <s v="pending"/>
  </r>
  <r>
    <n v="202400189"/>
    <x v="12"/>
    <n v="2024"/>
    <x v="0"/>
    <n v="10"/>
    <x v="14"/>
    <s v="Sophie Nilsson"/>
    <x v="2"/>
    <s v="Japan"/>
    <x v="3"/>
    <x v="12"/>
    <n v="6"/>
    <n v="1100.54"/>
    <n v="6603.24"/>
    <s v="Medium"/>
    <x v="0"/>
    <s v="completed"/>
  </r>
  <r>
    <n v="202400272"/>
    <x v="294"/>
    <n v="2024"/>
    <x v="1"/>
    <n v="4"/>
    <x v="9"/>
    <s v="Maria Martin"/>
    <x v="1"/>
    <s v="Germany"/>
    <x v="0"/>
    <x v="6"/>
    <n v="9"/>
    <n v="1346.06"/>
    <n v="12114.539999999999"/>
    <s v="Medium"/>
    <x v="3"/>
    <s v="shipped"/>
  </r>
  <r>
    <n v="202400237"/>
    <x v="266"/>
    <n v="2024"/>
    <x v="1"/>
    <n v="6"/>
    <x v="64"/>
    <s v="Maria Wilson"/>
    <x v="2"/>
    <s v="Germany"/>
    <x v="0"/>
    <x v="13"/>
    <n v="8"/>
    <n v="1028.1500000000001"/>
    <n v="8225.2000000000007"/>
    <s v="Medium"/>
    <x v="1"/>
    <s v="completed"/>
  </r>
  <r>
    <n v="202400488"/>
    <x v="209"/>
    <n v="2024"/>
    <x v="0"/>
    <n v="11"/>
    <x v="15"/>
    <s v="Anna Muller"/>
    <x v="1"/>
    <s v="Germany"/>
    <x v="0"/>
    <x v="5"/>
    <n v="8"/>
    <n v="1387.88"/>
    <n v="11103.04"/>
    <s v="Medium"/>
    <x v="3"/>
    <s v="completed"/>
  </r>
  <r>
    <n v="202401171"/>
    <x v="314"/>
    <n v="2024"/>
    <x v="1"/>
    <n v="4"/>
    <x v="20"/>
    <s v="Lucas Rossi"/>
    <x v="0"/>
    <s v="Australia"/>
    <x v="3"/>
    <x v="6"/>
    <n v="7"/>
    <n v="953.64"/>
    <n v="6675.48"/>
    <s v="Medium"/>
    <x v="2"/>
    <s v="completed"/>
  </r>
  <r>
    <n v="202400560"/>
    <x v="198"/>
    <n v="2024"/>
    <x v="1"/>
    <n v="6"/>
    <x v="77"/>
    <s v="Maria Smith"/>
    <x v="2"/>
    <s v="Australia"/>
    <x v="3"/>
    <x v="5"/>
    <n v="7"/>
    <n v="171.44"/>
    <n v="1200.08"/>
    <s v="Medium"/>
    <x v="2"/>
    <s v="cancelled"/>
  </r>
  <r>
    <n v="202400118"/>
    <x v="77"/>
    <n v="2024"/>
    <x v="2"/>
    <n v="2"/>
    <x v="26"/>
    <s v="Emma Leclerc"/>
    <x v="1"/>
    <s v="Canada"/>
    <x v="2"/>
    <x v="8"/>
    <n v="13"/>
    <n v="1425.39"/>
    <n v="18530.07"/>
    <s v="Bulk"/>
    <x v="2"/>
    <s v="completed"/>
  </r>
  <r>
    <n v="202400638"/>
    <x v="144"/>
    <n v="2024"/>
    <x v="1"/>
    <n v="6"/>
    <x v="23"/>
    <s v="David Martin"/>
    <x v="2"/>
    <s v="Canada"/>
    <x v="2"/>
    <x v="13"/>
    <n v="10"/>
    <n v="247.65"/>
    <n v="2476.5"/>
    <s v="Bulk"/>
    <x v="1"/>
    <s v="completed"/>
  </r>
  <r>
    <n v="202401088"/>
    <x v="248"/>
    <n v="2024"/>
    <x v="2"/>
    <n v="1"/>
    <x v="62"/>
    <s v="Paul Dupont"/>
    <x v="2"/>
    <s v="Netherlands"/>
    <x v="0"/>
    <x v="3"/>
    <n v="7"/>
    <n v="1971.42"/>
    <n v="13799.94"/>
    <s v="Medium"/>
    <x v="1"/>
    <s v="completed"/>
  </r>
  <r>
    <n v="202400751"/>
    <x v="134"/>
    <n v="2024"/>
    <x v="3"/>
    <n v="7"/>
    <x v="27"/>
    <s v="Paul Rodriguez"/>
    <x v="2"/>
    <s v="Spain"/>
    <x v="0"/>
    <x v="0"/>
    <n v="9"/>
    <n v="1900.11"/>
    <n v="17100.989999999998"/>
    <s v="Medium"/>
    <x v="1"/>
    <s v="pending"/>
  </r>
  <r>
    <n v="202400513"/>
    <x v="304"/>
    <n v="2024"/>
    <x v="0"/>
    <n v="10"/>
    <x v="56"/>
    <s v="Lisa Chen"/>
    <x v="2"/>
    <s v="Spain"/>
    <x v="0"/>
    <x v="10"/>
    <n v="3"/>
    <n v="1379.27"/>
    <n v="4137.8099999999995"/>
    <s v="Medium"/>
    <x v="0"/>
    <s v="refunded"/>
  </r>
  <r>
    <n v="202400634"/>
    <x v="315"/>
    <n v="2024"/>
    <x v="0"/>
    <n v="12"/>
    <x v="1"/>
    <s v="Carlos Muller"/>
    <x v="1"/>
    <s v="Netherlands"/>
    <x v="0"/>
    <x v="10"/>
    <n v="14"/>
    <n v="1930.03"/>
    <n v="27020.42"/>
    <s v="Bulk"/>
    <x v="1"/>
    <s v="completed"/>
  </r>
  <r>
    <n v="202400804"/>
    <x v="16"/>
    <n v="2024"/>
    <x v="3"/>
    <n v="7"/>
    <x v="19"/>
    <s v="John Smith"/>
    <x v="3"/>
    <s v="USA"/>
    <x v="2"/>
    <x v="12"/>
    <n v="2"/>
    <n v="1970.76"/>
    <n v="3941.52"/>
    <s v="Single"/>
    <x v="0"/>
    <s v="completed"/>
  </r>
  <r>
    <n v="202401027"/>
    <x v="306"/>
    <n v="2024"/>
    <x v="0"/>
    <n v="12"/>
    <x v="34"/>
    <s v="Anna Garcia"/>
    <x v="0"/>
    <s v="Germany"/>
    <x v="0"/>
    <x v="6"/>
    <n v="7"/>
    <n v="1285.07"/>
    <n v="8995.49"/>
    <s v="Medium"/>
    <x v="1"/>
    <s v="completed"/>
  </r>
  <r>
    <n v="202400885"/>
    <x v="171"/>
    <n v="2024"/>
    <x v="2"/>
    <n v="3"/>
    <x v="69"/>
    <s v="Pierre Rossi"/>
    <x v="3"/>
    <s v="Germany"/>
    <x v="0"/>
    <x v="1"/>
    <n v="3"/>
    <n v="110.56"/>
    <n v="331.68"/>
    <s v="Medium"/>
    <x v="2"/>
    <s v="completed"/>
  </r>
  <r>
    <n v="202400127"/>
    <x v="37"/>
    <n v="2024"/>
    <x v="3"/>
    <n v="9"/>
    <x v="9"/>
    <s v="Maria Martin"/>
    <x v="1"/>
    <s v="Germany"/>
    <x v="0"/>
    <x v="7"/>
    <n v="6"/>
    <n v="765.78"/>
    <n v="4594.68"/>
    <s v="Medium"/>
    <x v="2"/>
    <s v="cancelled"/>
  </r>
  <r>
    <n v="202400791"/>
    <x v="201"/>
    <n v="2024"/>
    <x v="2"/>
    <n v="1"/>
    <x v="58"/>
    <s v="Carlos Nilsson"/>
    <x v="0"/>
    <s v="Germany"/>
    <x v="0"/>
    <x v="13"/>
    <n v="2"/>
    <n v="798.17"/>
    <n v="1596.34"/>
    <s v="Single"/>
    <x v="1"/>
    <s v="shipped"/>
  </r>
  <r>
    <n v="202400117"/>
    <x v="321"/>
    <n v="2024"/>
    <x v="3"/>
    <n v="7"/>
    <x v="51"/>
    <s v="David Rodriguez"/>
    <x v="1"/>
    <s v="Netherlands"/>
    <x v="0"/>
    <x v="3"/>
    <n v="7"/>
    <n v="130.5"/>
    <n v="913.5"/>
    <s v="Medium"/>
    <x v="0"/>
    <s v="completed"/>
  </r>
  <r>
    <n v="202400474"/>
    <x v="138"/>
    <n v="2024"/>
    <x v="1"/>
    <n v="6"/>
    <x v="45"/>
    <s v="Pierre Wilson"/>
    <x v="3"/>
    <s v="Australia"/>
    <x v="3"/>
    <x v="0"/>
    <n v="11"/>
    <n v="972.68"/>
    <n v="10699.48"/>
    <s v="Bulk"/>
    <x v="1"/>
    <s v="shipped"/>
  </r>
  <r>
    <n v="202400741"/>
    <x v="186"/>
    <n v="2024"/>
    <x v="2"/>
    <n v="3"/>
    <x v="79"/>
    <s v="Pierre Smith"/>
    <x v="0"/>
    <s v="Netherlands"/>
    <x v="0"/>
    <x v="8"/>
    <n v="3"/>
    <n v="1209.3599999999999"/>
    <n v="3628.08"/>
    <s v="Medium"/>
    <x v="1"/>
    <s v="completed"/>
  </r>
  <r>
    <n v="202401144"/>
    <x v="105"/>
    <n v="2024"/>
    <x v="0"/>
    <n v="12"/>
    <x v="57"/>
    <s v="Emma Johnson"/>
    <x v="1"/>
    <s v="Netherlands"/>
    <x v="0"/>
    <x v="0"/>
    <n v="2"/>
    <n v="662.13"/>
    <n v="1324.26"/>
    <s v="Single"/>
    <x v="1"/>
    <s v="refunded"/>
  </r>
  <r>
    <n v="202400058"/>
    <x v="13"/>
    <n v="2024"/>
    <x v="1"/>
    <n v="6"/>
    <x v="50"/>
    <s v="Marie Chen"/>
    <x v="3"/>
    <s v="France"/>
    <x v="0"/>
    <x v="13"/>
    <n v="14"/>
    <n v="586.79"/>
    <n v="8215.06"/>
    <s v="Bulk"/>
    <x v="1"/>
    <s v="completed"/>
  </r>
  <r>
    <n v="202400604"/>
    <x v="120"/>
    <n v="2024"/>
    <x v="1"/>
    <n v="4"/>
    <x v="24"/>
    <s v="Lucas Tanaka"/>
    <x v="1"/>
    <s v="Mexico"/>
    <x v="1"/>
    <x v="8"/>
    <n v="5"/>
    <n v="269.39999999999998"/>
    <n v="1347"/>
    <s v="Medium"/>
    <x v="1"/>
    <s v="shipped"/>
  </r>
  <r>
    <n v="202400787"/>
    <x v="182"/>
    <n v="2024"/>
    <x v="0"/>
    <n v="12"/>
    <x v="34"/>
    <s v="Anna Garcia"/>
    <x v="0"/>
    <s v="Germany"/>
    <x v="0"/>
    <x v="4"/>
    <n v="4"/>
    <n v="1772.29"/>
    <n v="7089.16"/>
    <s v="Medium"/>
    <x v="2"/>
    <s v="completed"/>
  </r>
  <r>
    <n v="202400994"/>
    <x v="269"/>
    <n v="2024"/>
    <x v="0"/>
    <n v="11"/>
    <x v="24"/>
    <s v="Lucas Tanaka"/>
    <x v="1"/>
    <s v="Mexico"/>
    <x v="1"/>
    <x v="13"/>
    <n v="5"/>
    <n v="1031.8599999999999"/>
    <n v="5159.2999999999993"/>
    <s v="Medium"/>
    <x v="2"/>
    <s v="completed"/>
  </r>
  <r>
    <n v="202400657"/>
    <x v="42"/>
    <n v="2024"/>
    <x v="1"/>
    <n v="5"/>
    <x v="45"/>
    <s v="Pierre Wilson"/>
    <x v="3"/>
    <s v="Australia"/>
    <x v="3"/>
    <x v="2"/>
    <n v="5"/>
    <n v="1755.67"/>
    <n v="8778.35"/>
    <s v="Medium"/>
    <x v="1"/>
    <s v="completed"/>
  </r>
  <r>
    <n v="202400924"/>
    <x v="277"/>
    <n v="2024"/>
    <x v="0"/>
    <n v="11"/>
    <x v="48"/>
    <s v="Paul Leclerc"/>
    <x v="3"/>
    <s v="Australia"/>
    <x v="3"/>
    <x v="10"/>
    <n v="1"/>
    <n v="1950.97"/>
    <n v="1950.97"/>
    <s v="Single"/>
    <x v="0"/>
    <s v="completed"/>
  </r>
  <r>
    <n v="202400943"/>
    <x v="23"/>
    <n v="2024"/>
    <x v="3"/>
    <n v="9"/>
    <x v="60"/>
    <s v="Anna Rossi"/>
    <x v="0"/>
    <s v="Italy"/>
    <x v="0"/>
    <x v="2"/>
    <n v="4"/>
    <n v="1162.77"/>
    <n v="4651.08"/>
    <s v="Medium"/>
    <x v="2"/>
    <s v="shipped"/>
  </r>
  <r>
    <n v="202400106"/>
    <x v="65"/>
    <n v="2024"/>
    <x v="3"/>
    <n v="7"/>
    <x v="45"/>
    <s v="Pierre Wilson"/>
    <x v="3"/>
    <s v="Australia"/>
    <x v="3"/>
    <x v="7"/>
    <n v="11"/>
    <n v="688.46"/>
    <n v="7573.06"/>
    <s v="Bulk"/>
    <x v="1"/>
    <s v="refunded"/>
  </r>
  <r>
    <n v="202400636"/>
    <x v="111"/>
    <n v="2024"/>
    <x v="1"/>
    <n v="4"/>
    <x v="32"/>
    <s v="Marie Nilsson"/>
    <x v="1"/>
    <s v="Brazil"/>
    <x v="1"/>
    <x v="4"/>
    <n v="6"/>
    <n v="1874.5"/>
    <n v="11247"/>
    <s v="Medium"/>
    <x v="0"/>
    <s v="shipped"/>
  </r>
  <r>
    <n v="202400370"/>
    <x v="22"/>
    <n v="2024"/>
    <x v="1"/>
    <n v="4"/>
    <x v="55"/>
    <s v="Sarah Johnson"/>
    <x v="2"/>
    <s v="Germany"/>
    <x v="0"/>
    <x v="3"/>
    <n v="6"/>
    <n v="1395.78"/>
    <n v="8374.68"/>
    <s v="Medium"/>
    <x v="2"/>
    <s v="completed"/>
  </r>
  <r>
    <n v="202400269"/>
    <x v="309"/>
    <n v="2024"/>
    <x v="2"/>
    <n v="1"/>
    <x v="35"/>
    <s v="John Rodriguez"/>
    <x v="2"/>
    <s v="USA"/>
    <x v="2"/>
    <x v="6"/>
    <n v="3"/>
    <n v="176.89"/>
    <n v="530.66999999999996"/>
    <s v="Medium"/>
    <x v="3"/>
    <s v="completed"/>
  </r>
  <r>
    <n v="202400656"/>
    <x v="104"/>
    <n v="2024"/>
    <x v="0"/>
    <n v="11"/>
    <x v="43"/>
    <s v="James Garcia"/>
    <x v="2"/>
    <s v="Australia"/>
    <x v="3"/>
    <x v="12"/>
    <n v="2"/>
    <n v="978.22"/>
    <n v="1956.44"/>
    <s v="Single"/>
    <x v="2"/>
    <s v="refunded"/>
  </r>
  <r>
    <n v="202400047"/>
    <x v="322"/>
    <n v="2024"/>
    <x v="0"/>
    <n v="10"/>
    <x v="61"/>
    <s v="Anna Dupont"/>
    <x v="0"/>
    <s v="Brazil"/>
    <x v="1"/>
    <x v="11"/>
    <n v="10"/>
    <n v="885.41"/>
    <n v="8854.1"/>
    <s v="Bulk"/>
    <x v="3"/>
    <s v="shipped"/>
  </r>
  <r>
    <n v="202400350"/>
    <x v="39"/>
    <n v="2024"/>
    <x v="1"/>
    <n v="5"/>
    <x v="57"/>
    <s v="Emma Johnson"/>
    <x v="1"/>
    <s v="Netherlands"/>
    <x v="0"/>
    <x v="2"/>
    <n v="2"/>
    <n v="1334.63"/>
    <n v="2669.26"/>
    <s v="Single"/>
    <x v="3"/>
    <s v="shipped"/>
  </r>
  <r>
    <n v="202400774"/>
    <x v="283"/>
    <n v="2024"/>
    <x v="0"/>
    <n v="12"/>
    <x v="37"/>
    <s v="Pierre Smith"/>
    <x v="0"/>
    <s v="Australia"/>
    <x v="3"/>
    <x v="8"/>
    <n v="12"/>
    <n v="1620.95"/>
    <n v="19451.400000000001"/>
    <s v="Bulk"/>
    <x v="0"/>
    <s v="completed"/>
  </r>
  <r>
    <n v="202400196"/>
    <x v="2"/>
    <n v="2024"/>
    <x v="1"/>
    <n v="5"/>
    <x v="19"/>
    <s v="John Smith"/>
    <x v="3"/>
    <s v="USA"/>
    <x v="2"/>
    <x v="6"/>
    <n v="9"/>
    <n v="1006.37"/>
    <n v="9057.33"/>
    <s v="Medium"/>
    <x v="1"/>
    <s v="completed"/>
  </r>
  <r>
    <n v="202400103"/>
    <x v="283"/>
    <n v="2024"/>
    <x v="0"/>
    <n v="12"/>
    <x v="1"/>
    <s v="Carlos Muller"/>
    <x v="1"/>
    <s v="Netherlands"/>
    <x v="0"/>
    <x v="3"/>
    <n v="9"/>
    <n v="1936.65"/>
    <n v="17429.850000000002"/>
    <s v="Medium"/>
    <x v="2"/>
    <s v="completed"/>
  </r>
  <r>
    <n v="202400005"/>
    <x v="243"/>
    <n v="2024"/>
    <x v="3"/>
    <n v="8"/>
    <x v="5"/>
    <s v="James Nilsson"/>
    <x v="1"/>
    <s v="Italy"/>
    <x v="0"/>
    <x v="7"/>
    <n v="1"/>
    <n v="1572.03"/>
    <n v="1572.03"/>
    <s v="Single"/>
    <x v="2"/>
    <s v="completed"/>
  </r>
  <r>
    <n v="202400620"/>
    <x v="323"/>
    <n v="2024"/>
    <x v="0"/>
    <n v="10"/>
    <x v="11"/>
    <s v="Paul Martin"/>
    <x v="0"/>
    <s v="Spain"/>
    <x v="0"/>
    <x v="5"/>
    <n v="7"/>
    <n v="952.79"/>
    <n v="6669.53"/>
    <s v="Medium"/>
    <x v="2"/>
    <s v="pending"/>
  </r>
  <r>
    <n v="202401014"/>
    <x v="184"/>
    <n v="2024"/>
    <x v="3"/>
    <n v="9"/>
    <x v="20"/>
    <s v="Lucas Rossi"/>
    <x v="0"/>
    <s v="Australia"/>
    <x v="3"/>
    <x v="12"/>
    <n v="14"/>
    <n v="11.14"/>
    <n v="155.96"/>
    <s v="Bulk"/>
    <x v="1"/>
    <s v="cancelled"/>
  </r>
  <r>
    <n v="202400053"/>
    <x v="58"/>
    <n v="2024"/>
    <x v="3"/>
    <n v="9"/>
    <x v="1"/>
    <s v="Carlos Muller"/>
    <x v="1"/>
    <s v="Netherlands"/>
    <x v="0"/>
    <x v="6"/>
    <n v="7"/>
    <n v="81.62"/>
    <n v="571.34"/>
    <s v="Medium"/>
    <x v="2"/>
    <s v="refunded"/>
  </r>
  <r>
    <n v="202400264"/>
    <x v="324"/>
    <n v="2024"/>
    <x v="3"/>
    <n v="9"/>
    <x v="14"/>
    <s v="Sophie Nilsson"/>
    <x v="2"/>
    <s v="Japan"/>
    <x v="3"/>
    <x v="10"/>
    <n v="14"/>
    <n v="980.88"/>
    <n v="13732.32"/>
    <s v="Bulk"/>
    <x v="2"/>
    <s v="completed"/>
  </r>
  <r>
    <n v="202401104"/>
    <x v="59"/>
    <n v="2024"/>
    <x v="1"/>
    <n v="4"/>
    <x v="74"/>
    <s v="Lisa Nilsson"/>
    <x v="3"/>
    <s v="France"/>
    <x v="0"/>
    <x v="1"/>
    <n v="6"/>
    <n v="1970.91"/>
    <n v="11825.460000000001"/>
    <s v="Medium"/>
    <x v="1"/>
    <s v="pending"/>
  </r>
  <r>
    <n v="202400444"/>
    <x v="87"/>
    <n v="2024"/>
    <x v="3"/>
    <n v="7"/>
    <x v="46"/>
    <s v="Marie Martin"/>
    <x v="3"/>
    <s v="Canada"/>
    <x v="2"/>
    <x v="14"/>
    <n v="8"/>
    <n v="1693.22"/>
    <n v="13545.76"/>
    <s v="Medium"/>
    <x v="2"/>
    <s v="completed"/>
  </r>
  <r>
    <n v="202400995"/>
    <x v="236"/>
    <n v="2024"/>
    <x v="0"/>
    <n v="11"/>
    <x v="35"/>
    <s v="John Rodriguez"/>
    <x v="2"/>
    <s v="USA"/>
    <x v="2"/>
    <x v="11"/>
    <n v="4"/>
    <n v="575.54"/>
    <n v="2302.16"/>
    <s v="Medium"/>
    <x v="3"/>
    <s v="completed"/>
  </r>
  <r>
    <n v="202400783"/>
    <x v="27"/>
    <n v="2024"/>
    <x v="1"/>
    <n v="6"/>
    <x v="58"/>
    <s v="Carlos Nilsson"/>
    <x v="0"/>
    <s v="Germany"/>
    <x v="0"/>
    <x v="3"/>
    <n v="12"/>
    <n v="986.12"/>
    <n v="11833.44"/>
    <s v="Bulk"/>
    <x v="3"/>
    <s v="cancelled"/>
  </r>
  <r>
    <n v="202400866"/>
    <x v="196"/>
    <n v="2024"/>
    <x v="2"/>
    <n v="1"/>
    <x v="47"/>
    <s v="Pierre Brown"/>
    <x v="0"/>
    <s v="Japan"/>
    <x v="3"/>
    <x v="12"/>
    <n v="5"/>
    <n v="516.73"/>
    <n v="2583.65"/>
    <s v="Medium"/>
    <x v="2"/>
    <s v="completed"/>
  </r>
  <r>
    <n v="202400692"/>
    <x v="325"/>
    <n v="2024"/>
    <x v="3"/>
    <n v="9"/>
    <x v="78"/>
    <s v="Emma Smith"/>
    <x v="0"/>
    <s v="Mexico"/>
    <x v="1"/>
    <x v="2"/>
    <n v="13"/>
    <n v="1846.67"/>
    <n v="24006.71"/>
    <s v="Bulk"/>
    <x v="3"/>
    <s v="shipped"/>
  </r>
  <r>
    <n v="202400305"/>
    <x v="65"/>
    <n v="2024"/>
    <x v="3"/>
    <n v="7"/>
    <x v="49"/>
    <s v="Marie Smith"/>
    <x v="1"/>
    <s v="Netherlands"/>
    <x v="0"/>
    <x v="11"/>
    <n v="5"/>
    <n v="860.49"/>
    <n v="4302.45"/>
    <s v="Medium"/>
    <x v="1"/>
    <s v="completed"/>
  </r>
  <r>
    <n v="202400887"/>
    <x v="163"/>
    <n v="2024"/>
    <x v="1"/>
    <n v="6"/>
    <x v="45"/>
    <s v="Pierre Wilson"/>
    <x v="3"/>
    <s v="Australia"/>
    <x v="3"/>
    <x v="12"/>
    <n v="5"/>
    <n v="972.54"/>
    <n v="4862.7"/>
    <s v="Medium"/>
    <x v="3"/>
    <s v="completed"/>
  </r>
  <r>
    <n v="202400314"/>
    <x v="286"/>
    <n v="2024"/>
    <x v="3"/>
    <n v="7"/>
    <x v="24"/>
    <s v="Lucas Tanaka"/>
    <x v="1"/>
    <s v="Mexico"/>
    <x v="1"/>
    <x v="2"/>
    <n v="6"/>
    <n v="1631.63"/>
    <n v="9789.7800000000007"/>
    <s v="Medium"/>
    <x v="0"/>
    <s v="completed"/>
  </r>
  <r>
    <n v="202400150"/>
    <x v="261"/>
    <n v="2024"/>
    <x v="1"/>
    <n v="5"/>
    <x v="7"/>
    <s v="Sophie Johnson"/>
    <x v="1"/>
    <s v="USA"/>
    <x v="2"/>
    <x v="7"/>
    <n v="1"/>
    <n v="924.62"/>
    <n v="924.62"/>
    <s v="Single"/>
    <x v="1"/>
    <s v="completed"/>
  </r>
  <r>
    <n v="202400125"/>
    <x v="278"/>
    <n v="2024"/>
    <x v="1"/>
    <n v="5"/>
    <x v="30"/>
    <s v="Anna Dupont"/>
    <x v="3"/>
    <s v="Brazil"/>
    <x v="1"/>
    <x v="4"/>
    <n v="7"/>
    <n v="1207.1600000000001"/>
    <n v="8450.1200000000008"/>
    <s v="Medium"/>
    <x v="1"/>
    <s v="completed"/>
  </r>
  <r>
    <n v="202401074"/>
    <x v="251"/>
    <n v="2024"/>
    <x v="0"/>
    <n v="12"/>
    <x v="35"/>
    <s v="John Rodriguez"/>
    <x v="2"/>
    <s v="USA"/>
    <x v="2"/>
    <x v="7"/>
    <n v="13"/>
    <n v="1615.9"/>
    <n v="21006.7"/>
    <s v="Bulk"/>
    <x v="2"/>
    <s v="completed"/>
  </r>
  <r>
    <n v="202400575"/>
    <x v="292"/>
    <n v="2024"/>
    <x v="1"/>
    <n v="4"/>
    <x v="68"/>
    <s v="Nora Rodriguez"/>
    <x v="0"/>
    <s v="Mexico"/>
    <x v="1"/>
    <x v="9"/>
    <n v="13"/>
    <n v="30.72"/>
    <n v="399.36"/>
    <s v="Bulk"/>
    <x v="2"/>
    <s v="completed"/>
  </r>
  <r>
    <n v="202400698"/>
    <x v="326"/>
    <n v="2024"/>
    <x v="2"/>
    <n v="2"/>
    <x v="9"/>
    <s v="Maria Martin"/>
    <x v="1"/>
    <s v="Germany"/>
    <x v="0"/>
    <x v="13"/>
    <n v="5"/>
    <n v="1659.71"/>
    <n v="8298.5499999999993"/>
    <s v="Medium"/>
    <x v="3"/>
    <s v="completed"/>
  </r>
  <r>
    <n v="202400665"/>
    <x v="266"/>
    <n v="2024"/>
    <x v="1"/>
    <n v="6"/>
    <x v="57"/>
    <s v="Emma Johnson"/>
    <x v="1"/>
    <s v="Netherlands"/>
    <x v="0"/>
    <x v="12"/>
    <n v="1"/>
    <n v="476.84"/>
    <n v="476.84"/>
    <s v="Single"/>
    <x v="0"/>
    <s v="refunded"/>
  </r>
  <r>
    <n v="202400051"/>
    <x v="91"/>
    <n v="2024"/>
    <x v="1"/>
    <n v="5"/>
    <x v="27"/>
    <s v="Paul Rodriguez"/>
    <x v="2"/>
    <s v="Spain"/>
    <x v="0"/>
    <x v="8"/>
    <n v="12"/>
    <n v="1252.96"/>
    <n v="15035.52"/>
    <s v="Bulk"/>
    <x v="3"/>
    <s v="completed"/>
  </r>
  <r>
    <n v="202400727"/>
    <x v="327"/>
    <n v="2024"/>
    <x v="2"/>
    <n v="3"/>
    <x v="7"/>
    <s v="Sophie Johnson"/>
    <x v="1"/>
    <s v="USA"/>
    <x v="2"/>
    <x v="9"/>
    <n v="13"/>
    <n v="1604.65"/>
    <n v="20860.45"/>
    <s v="Bulk"/>
    <x v="2"/>
    <s v="completed"/>
  </r>
  <r>
    <n v="202400800"/>
    <x v="108"/>
    <n v="2024"/>
    <x v="0"/>
    <n v="11"/>
    <x v="7"/>
    <s v="Sophie Johnson"/>
    <x v="1"/>
    <s v="USA"/>
    <x v="2"/>
    <x v="0"/>
    <n v="1"/>
    <n v="1816.31"/>
    <n v="1816.31"/>
    <s v="Single"/>
    <x v="2"/>
    <s v="completed"/>
  </r>
  <r>
    <n v="202400834"/>
    <x v="62"/>
    <n v="2024"/>
    <x v="1"/>
    <n v="4"/>
    <x v="48"/>
    <s v="Paul Leclerc"/>
    <x v="3"/>
    <s v="Australia"/>
    <x v="3"/>
    <x v="8"/>
    <n v="8"/>
    <n v="1818.74"/>
    <n v="14549.92"/>
    <s v="Medium"/>
    <x v="2"/>
    <s v="shipped"/>
  </r>
  <r>
    <n v="202400354"/>
    <x v="0"/>
    <n v="2024"/>
    <x v="0"/>
    <n v="11"/>
    <x v="18"/>
    <s v="Marie Tanaka"/>
    <x v="0"/>
    <s v="Brazil"/>
    <x v="1"/>
    <x v="2"/>
    <n v="9"/>
    <n v="1021.95"/>
    <n v="9197.5500000000011"/>
    <s v="Medium"/>
    <x v="1"/>
    <s v="completed"/>
  </r>
  <r>
    <n v="202401164"/>
    <x v="265"/>
    <n v="2024"/>
    <x v="1"/>
    <n v="5"/>
    <x v="76"/>
    <s v="Sophie Brown"/>
    <x v="1"/>
    <s v="USA"/>
    <x v="2"/>
    <x v="5"/>
    <n v="11"/>
    <n v="247.47"/>
    <n v="2722.17"/>
    <s v="Bulk"/>
    <x v="3"/>
    <s v="completed"/>
  </r>
  <r>
    <n v="202400143"/>
    <x v="260"/>
    <n v="2024"/>
    <x v="0"/>
    <n v="12"/>
    <x v="72"/>
    <s v="Sophie Brown"/>
    <x v="1"/>
    <s v="Australia"/>
    <x v="3"/>
    <x v="10"/>
    <n v="9"/>
    <n v="1634.56"/>
    <n v="14711.039999999999"/>
    <s v="Medium"/>
    <x v="3"/>
    <s v="completed"/>
  </r>
  <r>
    <n v="202400471"/>
    <x v="119"/>
    <n v="2024"/>
    <x v="3"/>
    <n v="7"/>
    <x v="61"/>
    <s v="Anna Dupont"/>
    <x v="0"/>
    <s v="Brazil"/>
    <x v="1"/>
    <x v="9"/>
    <n v="3"/>
    <n v="255.4"/>
    <n v="766.2"/>
    <s v="Medium"/>
    <x v="2"/>
    <s v="completed"/>
  </r>
  <r>
    <n v="202400654"/>
    <x v="61"/>
    <n v="2024"/>
    <x v="2"/>
    <n v="2"/>
    <x v="13"/>
    <s v="Nora Brown"/>
    <x v="3"/>
    <s v="Italy"/>
    <x v="0"/>
    <x v="0"/>
    <n v="0"/>
    <n v="1563.62"/>
    <n v="0"/>
    <s v="Single"/>
    <x v="2"/>
    <s v="cancelled"/>
  </r>
  <r>
    <n v="202400400"/>
    <x v="58"/>
    <n v="2024"/>
    <x v="3"/>
    <n v="9"/>
    <x v="50"/>
    <s v="Marie Chen"/>
    <x v="3"/>
    <s v="France"/>
    <x v="0"/>
    <x v="8"/>
    <n v="13"/>
    <n v="885.25"/>
    <n v="11508.25"/>
    <s v="Bulk"/>
    <x v="2"/>
    <s v="completed"/>
  </r>
  <r>
    <n v="202400919"/>
    <x v="9"/>
    <n v="2024"/>
    <x v="2"/>
    <n v="1"/>
    <x v="13"/>
    <s v="Nora Brown"/>
    <x v="3"/>
    <s v="Italy"/>
    <x v="0"/>
    <x v="11"/>
    <n v="7"/>
    <n v="1854"/>
    <n v="12978"/>
    <s v="Medium"/>
    <x v="2"/>
    <s v="cancelled"/>
  </r>
  <r>
    <n v="202400937"/>
    <x v="110"/>
    <n v="2024"/>
    <x v="3"/>
    <n v="9"/>
    <x v="3"/>
    <s v="Carlos Tanaka"/>
    <x v="2"/>
    <s v="Italy"/>
    <x v="0"/>
    <x v="12"/>
    <n v="12"/>
    <n v="50.39"/>
    <n v="604.68000000000006"/>
    <s v="Bulk"/>
    <x v="3"/>
    <s v="pending"/>
  </r>
  <r>
    <n v="202400321"/>
    <x v="210"/>
    <n v="2024"/>
    <x v="2"/>
    <n v="3"/>
    <x v="60"/>
    <s v="Anna Rossi"/>
    <x v="0"/>
    <s v="Italy"/>
    <x v="0"/>
    <x v="10"/>
    <n v="3"/>
    <n v="503.81"/>
    <n v="1511.43"/>
    <s v="Medium"/>
    <x v="1"/>
    <s v="completed"/>
  </r>
  <r>
    <n v="202400020"/>
    <x v="44"/>
    <n v="2024"/>
    <x v="1"/>
    <n v="5"/>
    <x v="25"/>
    <s v="Sophie Martin"/>
    <x v="3"/>
    <s v="Canada"/>
    <x v="2"/>
    <x v="2"/>
    <n v="13"/>
    <n v="1794.06"/>
    <n v="23322.78"/>
    <s v="Bulk"/>
    <x v="1"/>
    <s v="completed"/>
  </r>
  <r>
    <n v="202400685"/>
    <x v="43"/>
    <n v="2024"/>
    <x v="0"/>
    <n v="10"/>
    <x v="37"/>
    <s v="Pierre Smith"/>
    <x v="0"/>
    <s v="Australia"/>
    <x v="3"/>
    <x v="3"/>
    <n v="8"/>
    <n v="1352.45"/>
    <n v="10819.6"/>
    <s v="Medium"/>
    <x v="1"/>
    <s v="completed"/>
  </r>
  <r>
    <n v="202400036"/>
    <x v="17"/>
    <n v="2024"/>
    <x v="1"/>
    <n v="5"/>
    <x v="64"/>
    <s v="Maria Wilson"/>
    <x v="2"/>
    <s v="Germany"/>
    <x v="0"/>
    <x v="11"/>
    <n v="3"/>
    <n v="504.46"/>
    <n v="1513.3799999999999"/>
    <s v="Medium"/>
    <x v="2"/>
    <s v="completed"/>
  </r>
  <r>
    <n v="202400825"/>
    <x v="328"/>
    <n v="2024"/>
    <x v="1"/>
    <n v="4"/>
    <x v="26"/>
    <s v="Emma Leclerc"/>
    <x v="1"/>
    <s v="Canada"/>
    <x v="2"/>
    <x v="7"/>
    <n v="11"/>
    <n v="1615.86"/>
    <n v="17774.46"/>
    <s v="Bulk"/>
    <x v="3"/>
    <s v="completed"/>
  </r>
  <r>
    <n v="202400506"/>
    <x v="329"/>
    <n v="2024"/>
    <x v="1"/>
    <n v="6"/>
    <x v="62"/>
    <s v="Paul Dupont"/>
    <x v="2"/>
    <s v="Netherlands"/>
    <x v="0"/>
    <x v="14"/>
    <n v="7"/>
    <n v="111.22"/>
    <n v="778.54"/>
    <s v="Medium"/>
    <x v="3"/>
    <s v="shipped"/>
  </r>
  <r>
    <n v="202400828"/>
    <x v="330"/>
    <n v="2024"/>
    <x v="0"/>
    <n v="10"/>
    <x v="43"/>
    <s v="James Garcia"/>
    <x v="2"/>
    <s v="Australia"/>
    <x v="3"/>
    <x v="10"/>
    <n v="6"/>
    <n v="249.57"/>
    <n v="1497.42"/>
    <s v="Medium"/>
    <x v="3"/>
    <s v="shipped"/>
  </r>
  <r>
    <n v="202401082"/>
    <x v="301"/>
    <n v="2024"/>
    <x v="0"/>
    <n v="11"/>
    <x v="11"/>
    <s v="Paul Martin"/>
    <x v="0"/>
    <s v="Spain"/>
    <x v="0"/>
    <x v="6"/>
    <n v="2"/>
    <n v="1539.44"/>
    <n v="3078.88"/>
    <s v="Single"/>
    <x v="3"/>
    <s v="completed"/>
  </r>
  <r>
    <n v="202400408"/>
    <x v="18"/>
    <n v="2024"/>
    <x v="2"/>
    <n v="3"/>
    <x v="75"/>
    <s v="Maria Muller"/>
    <x v="2"/>
    <s v="Australia"/>
    <x v="3"/>
    <x v="9"/>
    <n v="1"/>
    <n v="1218.99"/>
    <n v="1218.99"/>
    <s v="Single"/>
    <x v="3"/>
    <s v="completed"/>
  </r>
  <r>
    <n v="202400818"/>
    <x v="87"/>
    <n v="2024"/>
    <x v="3"/>
    <n v="7"/>
    <x v="5"/>
    <s v="James Nilsson"/>
    <x v="1"/>
    <s v="Italy"/>
    <x v="0"/>
    <x v="0"/>
    <n v="6"/>
    <n v="1587.33"/>
    <n v="9523.98"/>
    <s v="Medium"/>
    <x v="3"/>
    <s v="cancelled"/>
  </r>
  <r>
    <n v="202400538"/>
    <x v="331"/>
    <n v="2024"/>
    <x v="0"/>
    <n v="12"/>
    <x v="35"/>
    <s v="John Rodriguez"/>
    <x v="2"/>
    <s v="USA"/>
    <x v="2"/>
    <x v="2"/>
    <n v="10"/>
    <n v="1445.69"/>
    <n v="14456.900000000001"/>
    <s v="Bulk"/>
    <x v="2"/>
    <s v="completed"/>
  </r>
  <r>
    <n v="202400759"/>
    <x v="221"/>
    <n v="2024"/>
    <x v="2"/>
    <n v="1"/>
    <x v="78"/>
    <s v="Emma Smith"/>
    <x v="0"/>
    <s v="Mexico"/>
    <x v="1"/>
    <x v="0"/>
    <n v="10"/>
    <n v="1750.52"/>
    <n v="17505.2"/>
    <s v="Bulk"/>
    <x v="2"/>
    <s v="completed"/>
  </r>
  <r>
    <n v="202401080"/>
    <x v="123"/>
    <n v="2024"/>
    <x v="0"/>
    <n v="12"/>
    <x v="77"/>
    <s v="Maria Smith"/>
    <x v="2"/>
    <s v="Australia"/>
    <x v="3"/>
    <x v="7"/>
    <n v="4"/>
    <n v="1675.95"/>
    <n v="6703.8"/>
    <s v="Medium"/>
    <x v="3"/>
    <s v="completed"/>
  </r>
  <r>
    <n v="202400975"/>
    <x v="33"/>
    <n v="2024"/>
    <x v="3"/>
    <n v="8"/>
    <x v="4"/>
    <s v="Maria Smith"/>
    <x v="1"/>
    <s v="Italy"/>
    <x v="0"/>
    <x v="12"/>
    <n v="8"/>
    <n v="1213.27"/>
    <n v="9706.16"/>
    <s v="Medium"/>
    <x v="2"/>
    <s v="pending"/>
  </r>
  <r>
    <n v="202400039"/>
    <x v="181"/>
    <n v="2024"/>
    <x v="3"/>
    <n v="7"/>
    <x v="4"/>
    <s v="Maria Smith"/>
    <x v="1"/>
    <s v="Italy"/>
    <x v="0"/>
    <x v="0"/>
    <n v="8"/>
    <n v="1856.1"/>
    <n v="14848.8"/>
    <s v="Medium"/>
    <x v="2"/>
    <s v="completed"/>
  </r>
  <r>
    <n v="202400176"/>
    <x v="81"/>
    <n v="2024"/>
    <x v="1"/>
    <n v="4"/>
    <x v="57"/>
    <s v="Emma Johnson"/>
    <x v="1"/>
    <s v="Netherlands"/>
    <x v="0"/>
    <x v="12"/>
    <n v="12"/>
    <n v="1963.79"/>
    <n v="23565.48"/>
    <s v="Bulk"/>
    <x v="1"/>
    <s v="cancelled"/>
  </r>
  <r>
    <n v="202400246"/>
    <x v="16"/>
    <n v="2024"/>
    <x v="3"/>
    <n v="7"/>
    <x v="17"/>
    <s v="Maria Johnson"/>
    <x v="0"/>
    <s v="Brazil"/>
    <x v="1"/>
    <x v="11"/>
    <n v="11"/>
    <n v="706.66"/>
    <n v="7773.2599999999993"/>
    <s v="Bulk"/>
    <x v="2"/>
    <s v="cancelled"/>
  </r>
  <r>
    <n v="202400811"/>
    <x v="109"/>
    <n v="2024"/>
    <x v="0"/>
    <n v="11"/>
    <x v="8"/>
    <s v="Julia Johnson"/>
    <x v="2"/>
    <s v="France"/>
    <x v="0"/>
    <x v="7"/>
    <n v="5"/>
    <n v="1569.55"/>
    <n v="7847.75"/>
    <s v="Medium"/>
    <x v="3"/>
    <s v="completed"/>
  </r>
  <r>
    <n v="202400985"/>
    <x v="307"/>
    <n v="2024"/>
    <x v="2"/>
    <n v="1"/>
    <x v="77"/>
    <s v="Maria Smith"/>
    <x v="2"/>
    <s v="Australia"/>
    <x v="3"/>
    <x v="12"/>
    <n v="1"/>
    <n v="1186.02"/>
    <n v="1186.02"/>
    <s v="Single"/>
    <x v="3"/>
    <s v="shipped"/>
  </r>
  <r>
    <n v="202400785"/>
    <x v="329"/>
    <n v="2024"/>
    <x v="1"/>
    <n v="6"/>
    <x v="31"/>
    <s v="Carlos Wilson"/>
    <x v="0"/>
    <s v="Australia"/>
    <x v="3"/>
    <x v="8"/>
    <n v="6"/>
    <n v="1483.22"/>
    <n v="8899.32"/>
    <s v="Medium"/>
    <x v="3"/>
    <s v="completed"/>
  </r>
  <r>
    <n v="202401197"/>
    <x v="300"/>
    <n v="2024"/>
    <x v="2"/>
    <n v="1"/>
    <x v="24"/>
    <s v="Lucas Tanaka"/>
    <x v="1"/>
    <s v="Mexico"/>
    <x v="1"/>
    <x v="7"/>
    <n v="12"/>
    <n v="1013.61"/>
    <n v="12163.32"/>
    <s v="Bulk"/>
    <x v="2"/>
    <s v="completed"/>
  </r>
  <r>
    <n v="202400490"/>
    <x v="128"/>
    <n v="2024"/>
    <x v="0"/>
    <n v="12"/>
    <x v="72"/>
    <s v="Sophie Brown"/>
    <x v="1"/>
    <s v="Australia"/>
    <x v="3"/>
    <x v="2"/>
    <n v="6"/>
    <n v="1965.29"/>
    <n v="11791.74"/>
    <s v="Medium"/>
    <x v="0"/>
    <s v="completed"/>
  </r>
  <r>
    <n v="202400155"/>
    <x v="253"/>
    <n v="2024"/>
    <x v="2"/>
    <n v="2"/>
    <x v="48"/>
    <s v="Paul Leclerc"/>
    <x v="3"/>
    <s v="Australia"/>
    <x v="3"/>
    <x v="12"/>
    <n v="3"/>
    <n v="1394.14"/>
    <n v="4182.42"/>
    <s v="Medium"/>
    <x v="1"/>
    <s v="completed"/>
  </r>
  <r>
    <n v="202400639"/>
    <x v="48"/>
    <n v="2024"/>
    <x v="3"/>
    <n v="8"/>
    <x v="6"/>
    <s v="Anna Johnson"/>
    <x v="0"/>
    <s v="Germany"/>
    <x v="0"/>
    <x v="7"/>
    <n v="5"/>
    <n v="1763.35"/>
    <n v="8816.75"/>
    <s v="Medium"/>
    <x v="1"/>
    <s v="completed"/>
  </r>
  <r>
    <n v="202400663"/>
    <x v="22"/>
    <n v="2024"/>
    <x v="1"/>
    <n v="4"/>
    <x v="30"/>
    <s v="Anna Dupont"/>
    <x v="3"/>
    <s v="Brazil"/>
    <x v="1"/>
    <x v="13"/>
    <n v="1"/>
    <n v="854.57"/>
    <n v="854.57"/>
    <s v="Single"/>
    <x v="0"/>
    <s v="completed"/>
  </r>
  <r>
    <n v="202400854"/>
    <x v="153"/>
    <n v="2024"/>
    <x v="1"/>
    <n v="5"/>
    <x v="60"/>
    <s v="Anna Rossi"/>
    <x v="0"/>
    <s v="Italy"/>
    <x v="0"/>
    <x v="13"/>
    <n v="8"/>
    <n v="1955.77"/>
    <n v="15646.16"/>
    <s v="Medium"/>
    <x v="2"/>
    <s v="completed"/>
  </r>
  <r>
    <n v="202400288"/>
    <x v="175"/>
    <n v="2024"/>
    <x v="1"/>
    <n v="5"/>
    <x v="71"/>
    <s v="Carlos Dupont"/>
    <x v="0"/>
    <s v="Netherlands"/>
    <x v="0"/>
    <x v="3"/>
    <n v="6"/>
    <n v="295.22000000000003"/>
    <n v="1771.3200000000002"/>
    <s v="Medium"/>
    <x v="2"/>
    <s v="completed"/>
  </r>
  <r>
    <n v="202400626"/>
    <x v="26"/>
    <n v="2024"/>
    <x v="3"/>
    <n v="7"/>
    <x v="14"/>
    <s v="Sophie Nilsson"/>
    <x v="2"/>
    <s v="Japan"/>
    <x v="3"/>
    <x v="3"/>
    <n v="3"/>
    <n v="439.52"/>
    <n v="1318.56"/>
    <s v="Medium"/>
    <x v="1"/>
    <s v="pending"/>
  </r>
  <r>
    <n v="202401138"/>
    <x v="299"/>
    <n v="2024"/>
    <x v="1"/>
    <n v="6"/>
    <x v="44"/>
    <s v="Lucas Muller"/>
    <x v="1"/>
    <s v="Netherlands"/>
    <x v="0"/>
    <x v="11"/>
    <n v="5"/>
    <n v="188.03"/>
    <n v="940.15"/>
    <s v="Medium"/>
    <x v="0"/>
    <s v="completed"/>
  </r>
  <r>
    <n v="202400686"/>
    <x v="64"/>
    <n v="2024"/>
    <x v="1"/>
    <n v="6"/>
    <x v="27"/>
    <s v="Paul Rodriguez"/>
    <x v="2"/>
    <s v="Spain"/>
    <x v="0"/>
    <x v="10"/>
    <n v="6"/>
    <n v="1976.91"/>
    <n v="11861.460000000001"/>
    <s v="Medium"/>
    <x v="0"/>
    <s v="cancelled"/>
  </r>
  <r>
    <n v="202401028"/>
    <x v="30"/>
    <n v="2024"/>
    <x v="3"/>
    <n v="8"/>
    <x v="40"/>
    <s v="John Rossi"/>
    <x v="0"/>
    <s v="Netherlands"/>
    <x v="0"/>
    <x v="13"/>
    <n v="12"/>
    <n v="1614.03"/>
    <n v="19368.36"/>
    <s v="Bulk"/>
    <x v="1"/>
    <s v="pending"/>
  </r>
  <r>
    <n v="202400893"/>
    <x v="180"/>
    <n v="2024"/>
    <x v="2"/>
    <n v="3"/>
    <x v="13"/>
    <s v="Nora Brown"/>
    <x v="3"/>
    <s v="Italy"/>
    <x v="0"/>
    <x v="11"/>
    <n v="2"/>
    <n v="1487.35"/>
    <n v="2974.7"/>
    <s v="Single"/>
    <x v="2"/>
    <s v="refunded"/>
  </r>
  <r>
    <n v="202400570"/>
    <x v="23"/>
    <n v="2024"/>
    <x v="3"/>
    <n v="9"/>
    <x v="33"/>
    <s v="Sarah Rodriguez"/>
    <x v="0"/>
    <s v="Australia"/>
    <x v="3"/>
    <x v="9"/>
    <n v="1"/>
    <n v="1538.28"/>
    <n v="1538.28"/>
    <s v="Single"/>
    <x v="0"/>
    <s v="cancelled"/>
  </r>
  <r>
    <n v="202401177"/>
    <x v="137"/>
    <n v="2024"/>
    <x v="1"/>
    <n v="5"/>
    <x v="46"/>
    <s v="Marie Martin"/>
    <x v="3"/>
    <s v="Canada"/>
    <x v="2"/>
    <x v="10"/>
    <n v="10"/>
    <n v="398.26"/>
    <n v="3982.6"/>
    <s v="Bulk"/>
    <x v="3"/>
    <s v="pending"/>
  </r>
  <r>
    <n v="202400735"/>
    <x v="164"/>
    <n v="2024"/>
    <x v="3"/>
    <n v="8"/>
    <x v="32"/>
    <s v="Marie Nilsson"/>
    <x v="1"/>
    <s v="Brazil"/>
    <x v="1"/>
    <x v="8"/>
    <n v="1"/>
    <n v="991.76"/>
    <n v="991.76"/>
    <s v="Single"/>
    <x v="1"/>
    <s v="pending"/>
  </r>
  <r>
    <n v="202400793"/>
    <x v="90"/>
    <n v="2024"/>
    <x v="0"/>
    <n v="10"/>
    <x v="20"/>
    <s v="Lucas Rossi"/>
    <x v="0"/>
    <s v="Australia"/>
    <x v="3"/>
    <x v="10"/>
    <n v="1"/>
    <n v="1536.46"/>
    <n v="1536.46"/>
    <s v="Single"/>
    <x v="2"/>
    <s v="cancelled"/>
  </r>
  <r>
    <n v="202400018"/>
    <x v="332"/>
    <n v="2024"/>
    <x v="3"/>
    <n v="7"/>
    <x v="74"/>
    <s v="Lisa Nilsson"/>
    <x v="3"/>
    <s v="France"/>
    <x v="0"/>
    <x v="12"/>
    <n v="9"/>
    <n v="578.49"/>
    <n v="5206.41"/>
    <s v="Medium"/>
    <x v="2"/>
    <s v="shipped"/>
  </r>
  <r>
    <n v="202400128"/>
    <x v="58"/>
    <n v="2024"/>
    <x v="3"/>
    <n v="9"/>
    <x v="34"/>
    <s v="Anna Garcia"/>
    <x v="0"/>
    <s v="Germany"/>
    <x v="0"/>
    <x v="7"/>
    <n v="14"/>
    <n v="1835.33"/>
    <n v="25694.62"/>
    <s v="Bulk"/>
    <x v="2"/>
    <s v="completed"/>
  </r>
  <r>
    <n v="202400323"/>
    <x v="160"/>
    <n v="2024"/>
    <x v="0"/>
    <n v="12"/>
    <x v="20"/>
    <s v="Lucas Rossi"/>
    <x v="0"/>
    <s v="Australia"/>
    <x v="3"/>
    <x v="14"/>
    <n v="3"/>
    <n v="90.94"/>
    <n v="272.82"/>
    <s v="Medium"/>
    <x v="2"/>
    <s v="completed"/>
  </r>
  <r>
    <n v="202400256"/>
    <x v="269"/>
    <n v="2024"/>
    <x v="0"/>
    <n v="11"/>
    <x v="55"/>
    <s v="Sarah Johnson"/>
    <x v="2"/>
    <s v="Germany"/>
    <x v="0"/>
    <x v="5"/>
    <n v="12"/>
    <n v="986.17"/>
    <n v="11834.039999999999"/>
    <s v="Bulk"/>
    <x v="2"/>
    <s v="pending"/>
  </r>
  <r>
    <n v="202400965"/>
    <x v="299"/>
    <n v="2024"/>
    <x v="1"/>
    <n v="6"/>
    <x v="23"/>
    <s v="David Martin"/>
    <x v="2"/>
    <s v="Canada"/>
    <x v="2"/>
    <x v="5"/>
    <n v="8"/>
    <n v="229"/>
    <n v="1832"/>
    <s v="Medium"/>
    <x v="2"/>
    <s v="completed"/>
  </r>
  <r>
    <n v="202401191"/>
    <x v="329"/>
    <n v="2024"/>
    <x v="1"/>
    <n v="6"/>
    <x v="38"/>
    <s v="Nora Rodriguez"/>
    <x v="3"/>
    <s v="Germany"/>
    <x v="0"/>
    <x v="2"/>
    <n v="11"/>
    <n v="654.65"/>
    <n v="7201.15"/>
    <s v="Bulk"/>
    <x v="1"/>
    <s v="completed"/>
  </r>
  <r>
    <n v="202400191"/>
    <x v="35"/>
    <n v="2024"/>
    <x v="2"/>
    <n v="1"/>
    <x v="27"/>
    <s v="Paul Rodriguez"/>
    <x v="2"/>
    <s v="Spain"/>
    <x v="0"/>
    <x v="0"/>
    <n v="8"/>
    <n v="424.54"/>
    <n v="3396.32"/>
    <s v="Medium"/>
    <x v="1"/>
    <s v="completed"/>
  </r>
  <r>
    <n v="202400116"/>
    <x v="59"/>
    <n v="2024"/>
    <x v="1"/>
    <n v="4"/>
    <x v="54"/>
    <s v="James Brown"/>
    <x v="0"/>
    <s v="France"/>
    <x v="0"/>
    <x v="9"/>
    <n v="7"/>
    <n v="873.5"/>
    <n v="6114.5"/>
    <s v="Medium"/>
    <x v="1"/>
    <s v="completed"/>
  </r>
  <r>
    <n v="202401194"/>
    <x v="253"/>
    <n v="2024"/>
    <x v="2"/>
    <n v="2"/>
    <x v="23"/>
    <s v="David Martin"/>
    <x v="2"/>
    <s v="Canada"/>
    <x v="2"/>
    <x v="7"/>
    <n v="12"/>
    <n v="889.82"/>
    <n v="10677.84"/>
    <s v="Bulk"/>
    <x v="1"/>
    <s v="pending"/>
  </r>
  <r>
    <n v="202400910"/>
    <x v="73"/>
    <n v="2024"/>
    <x v="2"/>
    <n v="1"/>
    <x v="14"/>
    <s v="Sophie Nilsson"/>
    <x v="2"/>
    <s v="Japan"/>
    <x v="3"/>
    <x v="11"/>
    <n v="10"/>
    <n v="326.70999999999998"/>
    <n v="3267.1"/>
    <s v="Bulk"/>
    <x v="2"/>
    <s v="completed"/>
  </r>
  <r>
    <n v="202400607"/>
    <x v="196"/>
    <n v="2024"/>
    <x v="2"/>
    <n v="1"/>
    <x v="61"/>
    <s v="Anna Dupont"/>
    <x v="0"/>
    <s v="Brazil"/>
    <x v="1"/>
    <x v="6"/>
    <n v="8"/>
    <n v="1388.84"/>
    <n v="11110.72"/>
    <s v="Medium"/>
    <x v="0"/>
    <s v="cancelled"/>
  </r>
  <r>
    <n v="202400181"/>
    <x v="250"/>
    <n v="2024"/>
    <x v="2"/>
    <n v="2"/>
    <x v="54"/>
    <s v="James Brown"/>
    <x v="0"/>
    <s v="France"/>
    <x v="0"/>
    <x v="4"/>
    <n v="9"/>
    <n v="42.54"/>
    <n v="382.86"/>
    <s v="Medium"/>
    <x v="1"/>
    <s v="completed"/>
  </r>
  <r>
    <n v="202400302"/>
    <x v="132"/>
    <n v="2024"/>
    <x v="1"/>
    <n v="5"/>
    <x v="74"/>
    <s v="Lisa Nilsson"/>
    <x v="3"/>
    <s v="France"/>
    <x v="0"/>
    <x v="3"/>
    <n v="14"/>
    <n v="1205.7"/>
    <n v="16879.8"/>
    <s v="Bulk"/>
    <x v="0"/>
    <s v="pending"/>
  </r>
  <r>
    <n v="202400497"/>
    <x v="207"/>
    <n v="2024"/>
    <x v="0"/>
    <n v="12"/>
    <x v="0"/>
    <s v="Sophie Brown"/>
    <x v="0"/>
    <s v="France"/>
    <x v="0"/>
    <x v="13"/>
    <n v="7"/>
    <n v="955.56"/>
    <n v="6688.92"/>
    <s v="Medium"/>
    <x v="2"/>
    <s v="shipped"/>
  </r>
  <r>
    <n v="202400349"/>
    <x v="15"/>
    <n v="2024"/>
    <x v="0"/>
    <n v="11"/>
    <x v="22"/>
    <s v="Nora Muller"/>
    <x v="0"/>
    <s v="Japan"/>
    <x v="3"/>
    <x v="5"/>
    <n v="9"/>
    <n v="1811.2"/>
    <n v="16300.800000000001"/>
    <s v="Medium"/>
    <x v="2"/>
    <s v="cancelled"/>
  </r>
  <r>
    <n v="202401006"/>
    <x v="333"/>
    <n v="2024"/>
    <x v="0"/>
    <n v="10"/>
    <x v="73"/>
    <s v="Emma Dupont"/>
    <x v="1"/>
    <s v="USA"/>
    <x v="2"/>
    <x v="1"/>
    <n v="8"/>
    <n v="743.27"/>
    <n v="5946.16"/>
    <s v="Medium"/>
    <x v="2"/>
    <s v="completed"/>
  </r>
  <r>
    <n v="202400745"/>
    <x v="1"/>
    <n v="2024"/>
    <x v="0"/>
    <n v="10"/>
    <x v="49"/>
    <s v="Marie Smith"/>
    <x v="1"/>
    <s v="Netherlands"/>
    <x v="0"/>
    <x v="11"/>
    <n v="12"/>
    <n v="1760.04"/>
    <n v="21120.48"/>
    <s v="Bulk"/>
    <x v="3"/>
    <s v="completed"/>
  </r>
  <r>
    <n v="202401093"/>
    <x v="227"/>
    <n v="2024"/>
    <x v="3"/>
    <n v="8"/>
    <x v="23"/>
    <s v="David Martin"/>
    <x v="2"/>
    <s v="Canada"/>
    <x v="2"/>
    <x v="4"/>
    <n v="9"/>
    <n v="45.65"/>
    <n v="410.84999999999997"/>
    <s v="Medium"/>
    <x v="2"/>
    <s v="refunded"/>
  </r>
  <r>
    <n v="202400978"/>
    <x v="99"/>
    <n v="2024"/>
    <x v="0"/>
    <n v="10"/>
    <x v="47"/>
    <s v="Pierre Brown"/>
    <x v="0"/>
    <s v="Japan"/>
    <x v="3"/>
    <x v="8"/>
    <n v="9"/>
    <n v="1528.52"/>
    <n v="13756.68"/>
    <s v="Medium"/>
    <x v="0"/>
    <s v="refunded"/>
  </r>
  <r>
    <n v="202400518"/>
    <x v="227"/>
    <n v="2024"/>
    <x v="3"/>
    <n v="8"/>
    <x v="60"/>
    <s v="Anna Rossi"/>
    <x v="0"/>
    <s v="Italy"/>
    <x v="0"/>
    <x v="4"/>
    <n v="12"/>
    <n v="415.88"/>
    <n v="4990.5599999999995"/>
    <s v="Bulk"/>
    <x v="0"/>
    <s v="refunded"/>
  </r>
  <r>
    <n v="202400373"/>
    <x v="39"/>
    <n v="2024"/>
    <x v="1"/>
    <n v="5"/>
    <x v="53"/>
    <s v="Nora Muller"/>
    <x v="3"/>
    <s v="USA"/>
    <x v="2"/>
    <x v="11"/>
    <n v="7"/>
    <n v="122.32"/>
    <n v="856.24"/>
    <s v="Medium"/>
    <x v="2"/>
    <s v="pending"/>
  </r>
  <r>
    <n v="202400046"/>
    <x v="60"/>
    <n v="2024"/>
    <x v="1"/>
    <n v="4"/>
    <x v="10"/>
    <s v="John Garcia"/>
    <x v="3"/>
    <s v="Brazil"/>
    <x v="1"/>
    <x v="3"/>
    <n v="6"/>
    <n v="1102.2"/>
    <n v="6613.2000000000007"/>
    <s v="Medium"/>
    <x v="0"/>
    <s v="completed"/>
  </r>
  <r>
    <n v="202400477"/>
    <x v="48"/>
    <n v="2024"/>
    <x v="3"/>
    <n v="8"/>
    <x v="17"/>
    <s v="Maria Johnson"/>
    <x v="0"/>
    <s v="Brazil"/>
    <x v="1"/>
    <x v="2"/>
    <n v="9"/>
    <n v="1240.69"/>
    <n v="11166.210000000001"/>
    <s v="Medium"/>
    <x v="2"/>
    <s v="cancelled"/>
  </r>
  <r>
    <n v="202400158"/>
    <x v="179"/>
    <n v="2024"/>
    <x v="2"/>
    <n v="2"/>
    <x v="18"/>
    <s v="Marie Tanaka"/>
    <x v="0"/>
    <s v="Brazil"/>
    <x v="1"/>
    <x v="2"/>
    <n v="12"/>
    <n v="1062.0899999999999"/>
    <n v="12745.079999999998"/>
    <s v="Bulk"/>
    <x v="2"/>
    <s v="completed"/>
  </r>
  <r>
    <n v="202401058"/>
    <x v="193"/>
    <n v="2024"/>
    <x v="3"/>
    <n v="9"/>
    <x v="31"/>
    <s v="Carlos Wilson"/>
    <x v="0"/>
    <s v="Australia"/>
    <x v="3"/>
    <x v="3"/>
    <n v="3"/>
    <n v="545.65"/>
    <n v="1636.9499999999998"/>
    <s v="Medium"/>
    <x v="0"/>
    <s v="completed"/>
  </r>
  <r>
    <n v="202400172"/>
    <x v="265"/>
    <n v="2024"/>
    <x v="1"/>
    <n v="5"/>
    <x v="11"/>
    <s v="Paul Martin"/>
    <x v="0"/>
    <s v="Spain"/>
    <x v="0"/>
    <x v="3"/>
    <n v="10"/>
    <n v="1458.65"/>
    <n v="14586.5"/>
    <s v="Bulk"/>
    <x v="2"/>
    <s v="completed"/>
  </r>
  <r>
    <n v="202400017"/>
    <x v="48"/>
    <n v="2024"/>
    <x v="3"/>
    <n v="8"/>
    <x v="62"/>
    <s v="Paul Dupont"/>
    <x v="2"/>
    <s v="Netherlands"/>
    <x v="0"/>
    <x v="12"/>
    <n v="8"/>
    <n v="136.88999999999999"/>
    <n v="1095.1199999999999"/>
    <s v="Medium"/>
    <x v="0"/>
    <s v="completed"/>
  </r>
  <r>
    <n v="202400512"/>
    <x v="227"/>
    <n v="2024"/>
    <x v="3"/>
    <n v="8"/>
    <x v="49"/>
    <s v="Marie Smith"/>
    <x v="1"/>
    <s v="Netherlands"/>
    <x v="0"/>
    <x v="12"/>
    <n v="2"/>
    <n v="1009.9"/>
    <n v="2019.8"/>
    <s v="Single"/>
    <x v="2"/>
    <s v="completed"/>
  </r>
  <r>
    <n v="202400049"/>
    <x v="206"/>
    <n v="2024"/>
    <x v="1"/>
    <n v="4"/>
    <x v="4"/>
    <s v="Maria Smith"/>
    <x v="1"/>
    <s v="Italy"/>
    <x v="0"/>
    <x v="5"/>
    <n v="2"/>
    <n v="754.31"/>
    <n v="1508.62"/>
    <s v="Single"/>
    <x v="1"/>
    <s v="completed"/>
  </r>
  <r>
    <n v="202400192"/>
    <x v="334"/>
    <n v="2024"/>
    <x v="3"/>
    <n v="7"/>
    <x v="72"/>
    <s v="Sophie Brown"/>
    <x v="1"/>
    <s v="Australia"/>
    <x v="3"/>
    <x v="13"/>
    <n v="7"/>
    <n v="251.72"/>
    <n v="1762.04"/>
    <s v="Medium"/>
    <x v="1"/>
    <s v="completed"/>
  </r>
  <r>
    <n v="202400547"/>
    <x v="11"/>
    <n v="2024"/>
    <x v="2"/>
    <n v="2"/>
    <x v="59"/>
    <s v="Anna Nilsson"/>
    <x v="1"/>
    <s v="Spain"/>
    <x v="0"/>
    <x v="9"/>
    <n v="9"/>
    <n v="374.38"/>
    <n v="3369.42"/>
    <s v="Medium"/>
    <x v="0"/>
    <s v="completed"/>
  </r>
  <r>
    <n v="202400516"/>
    <x v="226"/>
    <n v="2024"/>
    <x v="2"/>
    <n v="3"/>
    <x v="68"/>
    <s v="Nora Rodriguez"/>
    <x v="0"/>
    <s v="Mexico"/>
    <x v="1"/>
    <x v="7"/>
    <n v="13"/>
    <n v="901.86"/>
    <n v="11724.18"/>
    <s v="Bulk"/>
    <x v="2"/>
    <s v="completed"/>
  </r>
  <r>
    <n v="202401001"/>
    <x v="258"/>
    <n v="2024"/>
    <x v="0"/>
    <n v="12"/>
    <x v="24"/>
    <s v="Lucas Tanaka"/>
    <x v="1"/>
    <s v="Mexico"/>
    <x v="1"/>
    <x v="14"/>
    <n v="1"/>
    <n v="202.56"/>
    <n v="202.56"/>
    <s v="Single"/>
    <x v="1"/>
    <s v="completed"/>
  </r>
  <r>
    <n v="202400960"/>
    <x v="120"/>
    <n v="2024"/>
    <x v="1"/>
    <n v="4"/>
    <x v="69"/>
    <s v="Pierre Rossi"/>
    <x v="3"/>
    <s v="Germany"/>
    <x v="0"/>
    <x v="2"/>
    <n v="14"/>
    <n v="202.78"/>
    <n v="2838.92"/>
    <s v="Bulk"/>
    <x v="2"/>
    <s v="completed"/>
  </r>
  <r>
    <n v="202400829"/>
    <x v="244"/>
    <n v="2024"/>
    <x v="1"/>
    <n v="4"/>
    <x v="15"/>
    <s v="Anna Muller"/>
    <x v="1"/>
    <s v="Germany"/>
    <x v="0"/>
    <x v="9"/>
    <n v="14"/>
    <n v="1412.85"/>
    <n v="19779.899999999998"/>
    <s v="Bulk"/>
    <x v="1"/>
    <s v="completed"/>
  </r>
  <r>
    <n v="202401007"/>
    <x v="155"/>
    <n v="2024"/>
    <x v="0"/>
    <n v="10"/>
    <x v="4"/>
    <s v="Maria Smith"/>
    <x v="1"/>
    <s v="Italy"/>
    <x v="0"/>
    <x v="2"/>
    <n v="4"/>
    <n v="1745.23"/>
    <n v="6980.92"/>
    <s v="Medium"/>
    <x v="2"/>
    <s v="cancelled"/>
  </r>
  <r>
    <n v="202400481"/>
    <x v="251"/>
    <n v="2024"/>
    <x v="0"/>
    <n v="12"/>
    <x v="79"/>
    <s v="Pierre Smith"/>
    <x v="0"/>
    <s v="Netherlands"/>
    <x v="0"/>
    <x v="2"/>
    <n v="14"/>
    <n v="1397.43"/>
    <n v="19564.02"/>
    <s v="Bulk"/>
    <x v="1"/>
    <s v="refunded"/>
  </r>
  <r>
    <n v="202401140"/>
    <x v="110"/>
    <n v="2024"/>
    <x v="3"/>
    <n v="9"/>
    <x v="67"/>
    <s v="Nora Chen"/>
    <x v="3"/>
    <s v="UK"/>
    <x v="0"/>
    <x v="13"/>
    <n v="9"/>
    <n v="303.68"/>
    <n v="2733.12"/>
    <s v="Medium"/>
    <x v="1"/>
    <s v="shipped"/>
  </r>
  <r>
    <n v="202400284"/>
    <x v="155"/>
    <n v="2024"/>
    <x v="0"/>
    <n v="10"/>
    <x v="32"/>
    <s v="Marie Nilsson"/>
    <x v="1"/>
    <s v="Brazil"/>
    <x v="1"/>
    <x v="1"/>
    <n v="10"/>
    <n v="1278.1199999999999"/>
    <n v="12781.199999999999"/>
    <s v="Bulk"/>
    <x v="2"/>
    <s v="pending"/>
  </r>
  <r>
    <n v="202401041"/>
    <x v="27"/>
    <n v="2024"/>
    <x v="1"/>
    <n v="6"/>
    <x v="33"/>
    <s v="Sarah Rodriguez"/>
    <x v="0"/>
    <s v="Australia"/>
    <x v="3"/>
    <x v="12"/>
    <n v="7"/>
    <n v="1419.29"/>
    <n v="9935.0299999999988"/>
    <s v="Medium"/>
    <x v="0"/>
    <s v="completed"/>
  </r>
  <r>
    <n v="202400798"/>
    <x v="18"/>
    <n v="2024"/>
    <x v="2"/>
    <n v="3"/>
    <x v="34"/>
    <s v="Anna Garcia"/>
    <x v="0"/>
    <s v="Germany"/>
    <x v="0"/>
    <x v="10"/>
    <n v="1"/>
    <n v="1633.34"/>
    <n v="1633.34"/>
    <s v="Single"/>
    <x v="2"/>
    <s v="completed"/>
  </r>
  <r>
    <n v="202401158"/>
    <x v="29"/>
    <n v="2024"/>
    <x v="0"/>
    <n v="10"/>
    <x v="53"/>
    <s v="Nora Muller"/>
    <x v="3"/>
    <s v="USA"/>
    <x v="2"/>
    <x v="6"/>
    <n v="5"/>
    <n v="1172.19"/>
    <n v="5860.9500000000007"/>
    <s v="Medium"/>
    <x v="2"/>
    <s v="refunded"/>
  </r>
  <r>
    <n v="202400226"/>
    <x v="135"/>
    <n v="2024"/>
    <x v="2"/>
    <n v="1"/>
    <x v="78"/>
    <s v="Emma Smith"/>
    <x v="0"/>
    <s v="Mexico"/>
    <x v="1"/>
    <x v="14"/>
    <n v="6"/>
    <n v="1321.75"/>
    <n v="7930.5"/>
    <s v="Medium"/>
    <x v="1"/>
    <s v="completed"/>
  </r>
  <r>
    <n v="202400027"/>
    <x v="275"/>
    <n v="2024"/>
    <x v="1"/>
    <n v="4"/>
    <x v="13"/>
    <s v="Nora Brown"/>
    <x v="3"/>
    <s v="Italy"/>
    <x v="0"/>
    <x v="11"/>
    <n v="11"/>
    <n v="770.41"/>
    <n v="8474.51"/>
    <s v="Bulk"/>
    <x v="2"/>
    <s v="refunded"/>
  </r>
  <r>
    <n v="202400283"/>
    <x v="228"/>
    <n v="2024"/>
    <x v="3"/>
    <n v="9"/>
    <x v="22"/>
    <s v="Nora Muller"/>
    <x v="0"/>
    <s v="Japan"/>
    <x v="3"/>
    <x v="7"/>
    <n v="14"/>
    <n v="1271.8"/>
    <n v="17805.2"/>
    <s v="Bulk"/>
    <x v="3"/>
    <s v="shipped"/>
  </r>
  <r>
    <n v="202401161"/>
    <x v="152"/>
    <n v="2024"/>
    <x v="2"/>
    <n v="3"/>
    <x v="50"/>
    <s v="Marie Chen"/>
    <x v="3"/>
    <s v="France"/>
    <x v="0"/>
    <x v="6"/>
    <n v="10"/>
    <n v="846.42"/>
    <n v="8464.1999999999989"/>
    <s v="Bulk"/>
    <x v="0"/>
    <s v="shipped"/>
  </r>
  <r>
    <n v="202400438"/>
    <x v="200"/>
    <n v="2024"/>
    <x v="2"/>
    <n v="2"/>
    <x v="60"/>
    <s v="Anna Rossi"/>
    <x v="0"/>
    <s v="Italy"/>
    <x v="0"/>
    <x v="14"/>
    <n v="4"/>
    <n v="1578.94"/>
    <n v="6315.76"/>
    <s v="Medium"/>
    <x v="2"/>
    <s v="cancelled"/>
  </r>
  <r>
    <n v="202401179"/>
    <x v="162"/>
    <n v="2024"/>
    <x v="1"/>
    <n v="5"/>
    <x v="49"/>
    <s v="Marie Smith"/>
    <x v="1"/>
    <s v="Netherlands"/>
    <x v="0"/>
    <x v="10"/>
    <n v="8"/>
    <n v="566.08000000000004"/>
    <n v="4528.6400000000003"/>
    <s v="Medium"/>
    <x v="2"/>
    <s v="completed"/>
  </r>
  <r>
    <n v="202400365"/>
    <x v="175"/>
    <n v="2024"/>
    <x v="1"/>
    <n v="5"/>
    <x v="66"/>
    <s v="Sarah Leclerc"/>
    <x v="3"/>
    <s v="Germany"/>
    <x v="0"/>
    <x v="0"/>
    <n v="11"/>
    <n v="792.29"/>
    <n v="8715.1899999999987"/>
    <s v="Bulk"/>
    <x v="3"/>
    <s v="completed"/>
  </r>
  <r>
    <n v="202400230"/>
    <x v="184"/>
    <n v="2024"/>
    <x v="3"/>
    <n v="9"/>
    <x v="68"/>
    <s v="Nora Rodriguez"/>
    <x v="0"/>
    <s v="Mexico"/>
    <x v="1"/>
    <x v="1"/>
    <n v="1"/>
    <n v="808.24"/>
    <n v="808.24"/>
    <s v="Single"/>
    <x v="2"/>
    <s v="cancelled"/>
  </r>
  <r>
    <n v="202400038"/>
    <x v="63"/>
    <n v="2024"/>
    <x v="3"/>
    <n v="8"/>
    <x v="47"/>
    <s v="Pierre Brown"/>
    <x v="0"/>
    <s v="Japan"/>
    <x v="3"/>
    <x v="11"/>
    <n v="8"/>
    <n v="1947.21"/>
    <n v="15577.68"/>
    <s v="Medium"/>
    <x v="0"/>
    <s v="completed"/>
  </r>
  <r>
    <n v="202400670"/>
    <x v="288"/>
    <n v="2024"/>
    <x v="1"/>
    <n v="4"/>
    <x v="18"/>
    <s v="Marie Tanaka"/>
    <x v="0"/>
    <s v="Brazil"/>
    <x v="1"/>
    <x v="1"/>
    <n v="13"/>
    <n v="940.92"/>
    <n v="12231.96"/>
    <s v="Bulk"/>
    <x v="3"/>
    <s v="pending"/>
  </r>
  <r>
    <n v="202401192"/>
    <x v="269"/>
    <n v="2024"/>
    <x v="0"/>
    <n v="11"/>
    <x v="31"/>
    <s v="Carlos Wilson"/>
    <x v="0"/>
    <s v="Australia"/>
    <x v="3"/>
    <x v="5"/>
    <n v="3"/>
    <n v="1300.21"/>
    <n v="3900.63"/>
    <s v="Medium"/>
    <x v="2"/>
    <s v="shipped"/>
  </r>
  <r>
    <n v="202400375"/>
    <x v="232"/>
    <n v="2024"/>
    <x v="1"/>
    <n v="4"/>
    <x v="9"/>
    <s v="Maria Martin"/>
    <x v="1"/>
    <s v="Germany"/>
    <x v="0"/>
    <x v="3"/>
    <n v="12"/>
    <n v="1259.6300000000001"/>
    <n v="15115.560000000001"/>
    <s v="Bulk"/>
    <x v="1"/>
    <s v="completed"/>
  </r>
  <r>
    <n v="202400470"/>
    <x v="266"/>
    <n v="2024"/>
    <x v="1"/>
    <n v="6"/>
    <x v="46"/>
    <s v="Marie Martin"/>
    <x v="3"/>
    <s v="Canada"/>
    <x v="2"/>
    <x v="4"/>
    <n v="9"/>
    <n v="203.53"/>
    <n v="1831.77"/>
    <s v="Medium"/>
    <x v="0"/>
    <s v="completed"/>
  </r>
  <r>
    <n v="202400883"/>
    <x v="112"/>
    <n v="2024"/>
    <x v="0"/>
    <n v="11"/>
    <x v="67"/>
    <s v="Nora Chen"/>
    <x v="3"/>
    <s v="UK"/>
    <x v="0"/>
    <x v="10"/>
    <n v="11"/>
    <n v="1723.98"/>
    <n v="18963.78"/>
    <s v="Bulk"/>
    <x v="0"/>
    <s v="completed"/>
  </r>
  <r>
    <n v="202401193"/>
    <x v="195"/>
    <n v="2024"/>
    <x v="2"/>
    <n v="1"/>
    <x v="33"/>
    <s v="Sarah Rodriguez"/>
    <x v="0"/>
    <s v="Australia"/>
    <x v="3"/>
    <x v="9"/>
    <n v="6"/>
    <n v="1982.41"/>
    <n v="11894.460000000001"/>
    <s v="Medium"/>
    <x v="2"/>
    <s v="pending "/>
  </r>
  <r>
    <n v="202400688"/>
    <x v="147"/>
    <n v="2024"/>
    <x v="2"/>
    <n v="2"/>
    <x v="59"/>
    <s v="Anna Nilsson"/>
    <x v="1"/>
    <s v="Spain"/>
    <x v="0"/>
    <x v="4"/>
    <n v="4"/>
    <n v="1242.78"/>
    <n v="4971.12"/>
    <s v="Medium"/>
    <x v="0"/>
    <s v="completed"/>
  </r>
  <r>
    <n v="202400033"/>
    <x v="21"/>
    <n v="2024"/>
    <x v="3"/>
    <n v="8"/>
    <x v="8"/>
    <s v="Julia Johnson"/>
    <x v="2"/>
    <s v="France"/>
    <x v="0"/>
    <x v="4"/>
    <n v="2"/>
    <n v="1502.22"/>
    <n v="3004.44"/>
    <s v="Single"/>
    <x v="0"/>
    <s v="pending"/>
  </r>
  <r>
    <n v="202400640"/>
    <x v="16"/>
    <n v="2024"/>
    <x v="3"/>
    <n v="7"/>
    <x v="79"/>
    <s v="Pierre Smith"/>
    <x v="0"/>
    <s v="Netherlands"/>
    <x v="0"/>
    <x v="14"/>
    <n v="11"/>
    <n v="710.44"/>
    <n v="7814.84"/>
    <s v="Bulk"/>
    <x v="1"/>
    <s v="completed"/>
  </r>
  <r>
    <n v="202401050"/>
    <x v="26"/>
    <n v="2024"/>
    <x v="3"/>
    <n v="7"/>
    <x v="12"/>
    <s v="Nora Tanaka"/>
    <x v="3"/>
    <s v="France"/>
    <x v="0"/>
    <x v="0"/>
    <n v="13"/>
    <n v="1310.1099999999999"/>
    <n v="17031.43"/>
    <s v="Bulk"/>
    <x v="1"/>
    <s v="cancelled"/>
  </r>
  <r>
    <n v="202400195"/>
    <x v="217"/>
    <n v="2024"/>
    <x v="3"/>
    <n v="7"/>
    <x v="70"/>
    <s v="David Smith"/>
    <x v="0"/>
    <s v="Canada"/>
    <x v="2"/>
    <x v="12"/>
    <n v="10"/>
    <n v="1284.71"/>
    <n v="12847.1"/>
    <s v="Bulk"/>
    <x v="2"/>
    <s v="completed"/>
  </r>
  <r>
    <n v="202401117"/>
    <x v="283"/>
    <n v="2024"/>
    <x v="0"/>
    <n v="12"/>
    <x v="38"/>
    <s v="Nora Rodriguez"/>
    <x v="3"/>
    <s v="Germany"/>
    <x v="0"/>
    <x v="11"/>
    <n v="8"/>
    <n v="234.26"/>
    <n v="1874.08"/>
    <s v="Medium"/>
    <x v="1"/>
    <s v="shipped"/>
  </r>
  <r>
    <n v="202401125"/>
    <x v="148"/>
    <n v="2024"/>
    <x v="1"/>
    <n v="6"/>
    <x v="32"/>
    <s v="Marie Nilsson"/>
    <x v="1"/>
    <s v="Brazil"/>
    <x v="1"/>
    <x v="13"/>
    <n v="6"/>
    <n v="974.86"/>
    <n v="5849.16"/>
    <s v="Medium"/>
    <x v="2"/>
    <s v="shipped"/>
  </r>
  <r>
    <n v="202400974"/>
    <x v="102"/>
    <n v="2024"/>
    <x v="1"/>
    <n v="5"/>
    <x v="71"/>
    <s v="Carlos Dupont"/>
    <x v="0"/>
    <s v="Netherlands"/>
    <x v="0"/>
    <x v="6"/>
    <n v="2"/>
    <n v="1394.73"/>
    <n v="2789.46"/>
    <s v="Single"/>
    <x v="2"/>
    <s v="shipped"/>
  </r>
  <r>
    <n v="202400504"/>
    <x v="177"/>
    <n v="2024"/>
    <x v="3"/>
    <n v="7"/>
    <x v="13"/>
    <s v="Nora Brown"/>
    <x v="3"/>
    <s v="Italy"/>
    <x v="0"/>
    <x v="10"/>
    <n v="1"/>
    <n v="1449.16"/>
    <n v="1449.16"/>
    <s v="Single"/>
    <x v="0"/>
    <s v="completed"/>
  </r>
  <r>
    <n v="202400916"/>
    <x v="312"/>
    <n v="2024"/>
    <x v="1"/>
    <n v="4"/>
    <x v="7"/>
    <s v="Sophie Johnson"/>
    <x v="1"/>
    <s v="USA"/>
    <x v="2"/>
    <x v="13"/>
    <n v="10"/>
    <n v="358.62"/>
    <n v="3586.2"/>
    <s v="Bulk"/>
    <x v="2"/>
    <s v="completed"/>
  </r>
  <r>
    <n v="202401000"/>
    <x v="10"/>
    <n v="2024"/>
    <x v="0"/>
    <n v="11"/>
    <x v="63"/>
    <s v="Lucas Chen"/>
    <x v="1"/>
    <s v="Italy"/>
    <x v="0"/>
    <x v="6"/>
    <n v="9"/>
    <n v="421.35"/>
    <n v="3792.15"/>
    <s v="Medium"/>
    <x v="1"/>
    <s v="pending"/>
  </r>
  <r>
    <n v="202401099"/>
    <x v="239"/>
    <n v="2024"/>
    <x v="1"/>
    <n v="6"/>
    <x v="31"/>
    <s v="Carlos Wilson"/>
    <x v="0"/>
    <s v="Australia"/>
    <x v="3"/>
    <x v="3"/>
    <n v="9"/>
    <n v="1829.81"/>
    <n v="16468.29"/>
    <s v="Medium"/>
    <x v="1"/>
    <s v="completed"/>
  </r>
  <r>
    <n v="202400801"/>
    <x v="335"/>
    <n v="2024"/>
    <x v="1"/>
    <n v="4"/>
    <x v="48"/>
    <s v="Paul Leclerc"/>
    <x v="3"/>
    <s v="Australia"/>
    <x v="3"/>
    <x v="2"/>
    <n v="8"/>
    <n v="1520.86"/>
    <n v="12166.88"/>
    <s v="Medium"/>
    <x v="0"/>
    <s v="cancelled"/>
  </r>
  <r>
    <n v="202400580"/>
    <x v="332"/>
    <n v="2024"/>
    <x v="3"/>
    <n v="7"/>
    <x v="3"/>
    <s v="Carlos Tanaka"/>
    <x v="2"/>
    <s v="Italy"/>
    <x v="0"/>
    <x v="5"/>
    <n v="9"/>
    <n v="1578.4"/>
    <n v="14205.6"/>
    <s v="Medium"/>
    <x v="1"/>
    <s v="completed"/>
  </r>
  <r>
    <n v="202400161"/>
    <x v="196"/>
    <n v="2024"/>
    <x v="2"/>
    <n v="1"/>
    <x v="39"/>
    <s v="John Chen"/>
    <x v="2"/>
    <s v="Germany"/>
    <x v="0"/>
    <x v="2"/>
    <n v="12"/>
    <n v="923.36"/>
    <n v="11080.32"/>
    <s v="Bulk"/>
    <x v="2"/>
    <s v="shipped"/>
  </r>
  <r>
    <n v="202400681"/>
    <x v="10"/>
    <n v="2024"/>
    <x v="0"/>
    <n v="11"/>
    <x v="65"/>
    <s v="Lucas Muller"/>
    <x v="1"/>
    <s v="Germany"/>
    <x v="0"/>
    <x v="11"/>
    <n v="10"/>
    <n v="1715.38"/>
    <n v="17153.800000000003"/>
    <s v="Bulk"/>
    <x v="0"/>
    <s v="refunded"/>
  </r>
  <r>
    <n v="202400957"/>
    <x v="61"/>
    <n v="2024"/>
    <x v="2"/>
    <n v="2"/>
    <x v="53"/>
    <s v="Nora Muller"/>
    <x v="3"/>
    <s v="USA"/>
    <x v="2"/>
    <x v="6"/>
    <n v="2"/>
    <n v="508.74"/>
    <n v="1017.48"/>
    <s v="Single"/>
    <x v="1"/>
    <s v="completed"/>
  </r>
  <r>
    <n v="202401142"/>
    <x v="6"/>
    <n v="2024"/>
    <x v="3"/>
    <n v="9"/>
    <x v="60"/>
    <s v="Anna Rossi"/>
    <x v="0"/>
    <s v="Italy"/>
    <x v="0"/>
    <x v="14"/>
    <n v="4"/>
    <n v="1433.49"/>
    <n v="5733.96"/>
    <s v="Medium"/>
    <x v="2"/>
    <s v="completed"/>
  </r>
  <r>
    <n v="202400163"/>
    <x v="190"/>
    <n v="2024"/>
    <x v="1"/>
    <n v="6"/>
    <x v="63"/>
    <s v="Lucas Chen"/>
    <x v="1"/>
    <s v="Italy"/>
    <x v="0"/>
    <x v="6"/>
    <n v="10"/>
    <n v="1057.0999999999999"/>
    <n v="10571"/>
    <s v="Bulk"/>
    <x v="0"/>
    <s v="completed"/>
  </r>
  <r>
    <n v="202400822"/>
    <x v="76"/>
    <n v="2024"/>
    <x v="3"/>
    <n v="9"/>
    <x v="11"/>
    <s v="Paul Martin"/>
    <x v="0"/>
    <s v="Spain"/>
    <x v="0"/>
    <x v="13"/>
    <n v="12"/>
    <n v="475.39"/>
    <n v="5704.68"/>
    <s v="Bulk"/>
    <x v="2"/>
    <s v="completed"/>
  </r>
  <r>
    <n v="202400706"/>
    <x v="75"/>
    <n v="2024"/>
    <x v="2"/>
    <n v="1"/>
    <x v="48"/>
    <s v="Paul Leclerc"/>
    <x v="3"/>
    <s v="Australia"/>
    <x v="3"/>
    <x v="12"/>
    <n v="13"/>
    <n v="1747.19"/>
    <n v="22713.47"/>
    <s v="Bulk"/>
    <x v="2"/>
    <s v="completed"/>
  </r>
  <r>
    <n v="202401102"/>
    <x v="105"/>
    <n v="2024"/>
    <x v="0"/>
    <n v="12"/>
    <x v="25"/>
    <s v="Sophie Martin"/>
    <x v="3"/>
    <s v="Canada"/>
    <x v="2"/>
    <x v="3"/>
    <n v="4"/>
    <n v="1690.47"/>
    <n v="6761.88"/>
    <s v="Medium"/>
    <x v="2"/>
    <s v="cancelled"/>
  </r>
  <r>
    <n v="202400878"/>
    <x v="294"/>
    <n v="2024"/>
    <x v="1"/>
    <n v="4"/>
    <x v="75"/>
    <s v="Maria Muller"/>
    <x v="2"/>
    <s v="Australia"/>
    <x v="3"/>
    <x v="5"/>
    <n v="14"/>
    <n v="1165.1199999999999"/>
    <n v="16311.679999999998"/>
    <s v="Bulk"/>
    <x v="1"/>
    <s v="completed"/>
  </r>
  <r>
    <n v="202400896"/>
    <x v="217"/>
    <n v="2024"/>
    <x v="3"/>
    <n v="7"/>
    <x v="49"/>
    <s v="Marie Smith"/>
    <x v="1"/>
    <s v="Netherlands"/>
    <x v="0"/>
    <x v="14"/>
    <n v="12"/>
    <n v="595.25"/>
    <n v="7143"/>
    <s v="Bulk"/>
    <x v="2"/>
    <s v="refunded"/>
  </r>
  <r>
    <n v="202400914"/>
    <x v="7"/>
    <n v="2024"/>
    <x v="0"/>
    <n v="12"/>
    <x v="74"/>
    <s v="Lisa Nilsson"/>
    <x v="3"/>
    <s v="France"/>
    <x v="0"/>
    <x v="14"/>
    <n v="1"/>
    <n v="1480.19"/>
    <n v="1480.19"/>
    <s v="Single"/>
    <x v="2"/>
    <s v="pending"/>
  </r>
  <r>
    <n v="202400153"/>
    <x v="176"/>
    <n v="2024"/>
    <x v="3"/>
    <n v="7"/>
    <x v="19"/>
    <s v="John Smith"/>
    <x v="3"/>
    <s v="USA"/>
    <x v="2"/>
    <x v="8"/>
    <n v="12"/>
    <n v="1145.0899999999999"/>
    <n v="13741.079999999998"/>
    <s v="Bulk"/>
    <x v="2"/>
    <s v="completed"/>
  </r>
  <r>
    <n v="202401002"/>
    <x v="45"/>
    <n v="2024"/>
    <x v="1"/>
    <n v="4"/>
    <x v="73"/>
    <s v="Emma Dupont"/>
    <x v="1"/>
    <s v="USA"/>
    <x v="2"/>
    <x v="1"/>
    <n v="2"/>
    <n v="784.64"/>
    <n v="1569.28"/>
    <s v="Single"/>
    <x v="2"/>
    <s v="completed"/>
  </r>
  <r>
    <n v="202401157"/>
    <x v="10"/>
    <n v="2024"/>
    <x v="0"/>
    <n v="11"/>
    <x v="58"/>
    <s v="Carlos Nilsson"/>
    <x v="0"/>
    <s v="Germany"/>
    <x v="0"/>
    <x v="6"/>
    <n v="8"/>
    <n v="1671.91"/>
    <n v="13375.28"/>
    <s v="Medium"/>
    <x v="3"/>
    <s v="shipped"/>
  </r>
  <r>
    <n v="202400510"/>
    <x v="33"/>
    <n v="2024"/>
    <x v="3"/>
    <n v="8"/>
    <x v="55"/>
    <s v="Sarah Johnson"/>
    <x v="2"/>
    <s v="Germany"/>
    <x v="0"/>
    <x v="9"/>
    <n v="5"/>
    <n v="948.11"/>
    <n v="4740.55"/>
    <s v="Medium"/>
    <x v="2"/>
    <s v="completed"/>
  </r>
  <r>
    <n v="202400112"/>
    <x v="58"/>
    <n v="2024"/>
    <x v="3"/>
    <n v="9"/>
    <x v="76"/>
    <s v="Sophie Brown"/>
    <x v="1"/>
    <s v="USA"/>
    <x v="2"/>
    <x v="4"/>
    <n v="6"/>
    <n v="507.23"/>
    <n v="3043.38"/>
    <s v="Medium"/>
    <x v="2"/>
    <s v="refunded"/>
  </r>
  <r>
    <n v="202400227"/>
    <x v="176"/>
    <n v="2024"/>
    <x v="3"/>
    <n v="7"/>
    <x v="9"/>
    <s v="Maria Martin"/>
    <x v="1"/>
    <s v="Germany"/>
    <x v="0"/>
    <x v="14"/>
    <n v="3"/>
    <n v="1134.1400000000001"/>
    <n v="3402.42"/>
    <s v="Medium"/>
    <x v="3"/>
    <s v="completed"/>
  </r>
  <r>
    <n v="202401009"/>
    <x v="175"/>
    <n v="2024"/>
    <x v="1"/>
    <n v="5"/>
    <x v="74"/>
    <s v="Lisa Nilsson"/>
    <x v="3"/>
    <s v="France"/>
    <x v="0"/>
    <x v="3"/>
    <n v="13"/>
    <n v="359.62"/>
    <n v="4675.0600000000004"/>
    <s v="Bulk"/>
    <x v="2"/>
    <s v="cancelled"/>
  </r>
  <r>
    <n v="202400852"/>
    <x v="122"/>
    <n v="2024"/>
    <x v="1"/>
    <n v="6"/>
    <x v="29"/>
    <s v="Nora Tanaka"/>
    <x v="3"/>
    <s v="Canada"/>
    <x v="2"/>
    <x v="5"/>
    <n v="8"/>
    <n v="847.68"/>
    <n v="6781.44"/>
    <s v="Medium"/>
    <x v="1"/>
    <s v="completed"/>
  </r>
  <r>
    <n v="202400104"/>
    <x v="24"/>
    <n v="2024"/>
    <x v="2"/>
    <n v="1"/>
    <x v="10"/>
    <s v="John Garcia"/>
    <x v="3"/>
    <s v="Brazil"/>
    <x v="1"/>
    <x v="1"/>
    <n v="9"/>
    <n v="547.70000000000005"/>
    <n v="4929.3"/>
    <s v="Medium"/>
    <x v="1"/>
    <s v="completed"/>
  </r>
  <r>
    <n v="202400422"/>
    <x v="104"/>
    <n v="2024"/>
    <x v="0"/>
    <n v="11"/>
    <x v="46"/>
    <s v="Marie Martin"/>
    <x v="3"/>
    <s v="Canada"/>
    <x v="2"/>
    <x v="4"/>
    <n v="10"/>
    <n v="1982.38"/>
    <n v="19823.800000000003"/>
    <s v="Bulk"/>
    <x v="1"/>
    <s v="completed"/>
  </r>
  <r>
    <n v="202400420"/>
    <x v="237"/>
    <n v="2024"/>
    <x v="3"/>
    <n v="7"/>
    <x v="66"/>
    <s v="Sarah Leclerc"/>
    <x v="3"/>
    <s v="Germany"/>
    <x v="0"/>
    <x v="10"/>
    <n v="5"/>
    <n v="212.34"/>
    <n v="1061.7"/>
    <s v="Medium"/>
    <x v="1"/>
    <s v="completed"/>
  </r>
  <r>
    <n v="202400968"/>
    <x v="319"/>
    <n v="2024"/>
    <x v="0"/>
    <n v="11"/>
    <x v="2"/>
    <s v="John Wilson"/>
    <x v="0"/>
    <s v="Mexico"/>
    <x v="1"/>
    <x v="5"/>
    <n v="13"/>
    <n v="1691.79"/>
    <n v="21993.27"/>
    <s v="Bulk"/>
    <x v="1"/>
    <s v="completed"/>
  </r>
  <r>
    <n v="202400625"/>
    <x v="279"/>
    <n v="2024"/>
    <x v="0"/>
    <n v="10"/>
    <x v="45"/>
    <s v="Pierre Wilson"/>
    <x v="3"/>
    <s v="Australia"/>
    <x v="3"/>
    <x v="9"/>
    <n v="1"/>
    <n v="493.91"/>
    <n v="493.91"/>
    <s v="Single"/>
    <x v="3"/>
    <s v="cancelled"/>
  </r>
  <r>
    <n v="202400587"/>
    <x v="156"/>
    <n v="2024"/>
    <x v="3"/>
    <n v="9"/>
    <x v="9"/>
    <s v="Maria Martin"/>
    <x v="1"/>
    <s v="Germany"/>
    <x v="0"/>
    <x v="9"/>
    <n v="14"/>
    <n v="279.33"/>
    <n v="3910.62"/>
    <s v="Bulk"/>
    <x v="2"/>
    <s v="shipped"/>
  </r>
  <r>
    <n v="202401112"/>
    <x v="336"/>
    <n v="2024"/>
    <x v="1"/>
    <n v="6"/>
    <x v="37"/>
    <s v="Pierre Smith"/>
    <x v="0"/>
    <s v="Australia"/>
    <x v="3"/>
    <x v="1"/>
    <n v="12"/>
    <n v="158.04"/>
    <n v="1896.48"/>
    <s v="Bulk"/>
    <x v="0"/>
    <s v="shipped"/>
  </r>
  <r>
    <n v="202400920"/>
    <x v="280"/>
    <n v="2024"/>
    <x v="1"/>
    <n v="6"/>
    <x v="42"/>
    <s v="Lisa Martin"/>
    <x v="0"/>
    <s v="Mexico"/>
    <x v="1"/>
    <x v="5"/>
    <n v="13"/>
    <n v="164.04"/>
    <n v="2132.52"/>
    <s v="Bulk"/>
    <x v="3"/>
    <s v="completed"/>
  </r>
  <r>
    <n v="202400673"/>
    <x v="55"/>
    <n v="2024"/>
    <x v="2"/>
    <n v="3"/>
    <x v="79"/>
    <s v="Pierre Smith"/>
    <x v="0"/>
    <s v="Netherlands"/>
    <x v="0"/>
    <x v="2"/>
    <n v="10"/>
    <n v="1543.09"/>
    <n v="15430.9"/>
    <s v="Bulk"/>
    <x v="1"/>
    <s v="cancelled"/>
  </r>
  <r>
    <n v="202400120"/>
    <x v="173"/>
    <n v="2024"/>
    <x v="3"/>
    <n v="8"/>
    <x v="18"/>
    <s v="Marie Tanaka"/>
    <x v="0"/>
    <s v="Brazil"/>
    <x v="1"/>
    <x v="7"/>
    <n v="12"/>
    <n v="633.46"/>
    <n v="7601.52"/>
    <s v="Bulk"/>
    <x v="2"/>
    <s v="cancelled"/>
  </r>
  <r>
    <n v="202400054"/>
    <x v="261"/>
    <n v="2024"/>
    <x v="1"/>
    <n v="5"/>
    <x v="50"/>
    <s v="Marie Chen"/>
    <x v="3"/>
    <s v="France"/>
    <x v="0"/>
    <x v="12"/>
    <n v="7"/>
    <n v="541.58000000000004"/>
    <n v="3791.0600000000004"/>
    <s v="Medium"/>
    <x v="2"/>
    <s v="completed"/>
  </r>
  <r>
    <n v="202400152"/>
    <x v="303"/>
    <n v="2024"/>
    <x v="1"/>
    <n v="6"/>
    <x v="13"/>
    <s v="Nora Brown"/>
    <x v="3"/>
    <s v="Italy"/>
    <x v="0"/>
    <x v="3"/>
    <n v="6"/>
    <n v="1635.38"/>
    <n v="9812.2800000000007"/>
    <s v="Medium"/>
    <x v="1"/>
    <s v="completed"/>
  </r>
  <r>
    <n v="202400404"/>
    <x v="19"/>
    <n v="2024"/>
    <x v="0"/>
    <n v="12"/>
    <x v="31"/>
    <s v="Carlos Wilson"/>
    <x v="0"/>
    <s v="Australia"/>
    <x v="3"/>
    <x v="4"/>
    <n v="8"/>
    <n v="142.41"/>
    <n v="1139.28"/>
    <s v="Medium"/>
    <x v="2"/>
    <s v="shipped"/>
  </r>
  <r>
    <n v="202400208"/>
    <x v="244"/>
    <n v="2024"/>
    <x v="1"/>
    <n v="4"/>
    <x v="58"/>
    <s v="Carlos Nilsson"/>
    <x v="0"/>
    <s v="Germany"/>
    <x v="0"/>
    <x v="13"/>
    <n v="2"/>
    <n v="1718.48"/>
    <n v="3436.96"/>
    <s v="Single"/>
    <x v="2"/>
    <s v="completed"/>
  </r>
  <r>
    <n v="202401146"/>
    <x v="336"/>
    <n v="2024"/>
    <x v="1"/>
    <n v="6"/>
    <x v="60"/>
    <s v="Anna Rossi"/>
    <x v="0"/>
    <s v="Italy"/>
    <x v="0"/>
    <x v="10"/>
    <n v="9"/>
    <n v="758.78"/>
    <n v="6829.0199999999995"/>
    <s v="Medium"/>
    <x v="3"/>
    <s v="completed"/>
  </r>
  <r>
    <n v="202400659"/>
    <x v="139"/>
    <n v="2024"/>
    <x v="2"/>
    <n v="1"/>
    <x v="41"/>
    <s v="Sophie Garcia"/>
    <x v="1"/>
    <s v="USA"/>
    <x v="2"/>
    <x v="10"/>
    <n v="12"/>
    <n v="713.08"/>
    <n v="8556.9600000000009"/>
    <s v="Bulk"/>
    <x v="2"/>
    <s v="completed"/>
  </r>
  <r>
    <n v="202401108"/>
    <x v="337"/>
    <n v="2024"/>
    <x v="1"/>
    <n v="5"/>
    <x v="17"/>
    <s v="Maria Johnson"/>
    <x v="0"/>
    <s v="Brazil"/>
    <x v="1"/>
    <x v="7"/>
    <n v="7"/>
    <n v="1961.37"/>
    <n v="13729.59"/>
    <s v="Medium"/>
    <x v="2"/>
    <s v="completed"/>
  </r>
  <r>
    <n v="202400233"/>
    <x v="338"/>
    <n v="2024"/>
    <x v="2"/>
    <n v="3"/>
    <x v="26"/>
    <s v="Emma Leclerc"/>
    <x v="1"/>
    <s v="Canada"/>
    <x v="2"/>
    <x v="1"/>
    <n v="6"/>
    <n v="705.13"/>
    <n v="4230.78"/>
    <s v="Medium"/>
    <x v="2"/>
    <s v="cancelled"/>
  </r>
  <r>
    <n v="202400009"/>
    <x v="216"/>
    <n v="2024"/>
    <x v="0"/>
    <n v="12"/>
    <x v="7"/>
    <s v="Sophie Johnson"/>
    <x v="1"/>
    <s v="USA"/>
    <x v="2"/>
    <x v="7"/>
    <n v="5"/>
    <n v="1516.16"/>
    <n v="7580.8"/>
    <s v="Medium"/>
    <x v="1"/>
    <s v="completed"/>
  </r>
  <r>
    <n v="202400160"/>
    <x v="339"/>
    <n v="2024"/>
    <x v="0"/>
    <n v="12"/>
    <x v="40"/>
    <s v="John Rossi"/>
    <x v="0"/>
    <s v="Netherlands"/>
    <x v="0"/>
    <x v="13"/>
    <n v="2"/>
    <n v="1872.99"/>
    <n v="3745.98"/>
    <s v="Single"/>
    <x v="0"/>
    <s v="completed"/>
  </r>
  <r>
    <n v="202400037"/>
    <x v="256"/>
    <n v="2024"/>
    <x v="0"/>
    <n v="10"/>
    <x v="46"/>
    <s v="Marie Martin"/>
    <x v="3"/>
    <s v="Canada"/>
    <x v="2"/>
    <x v="0"/>
    <n v="13"/>
    <n v="1914.73"/>
    <n v="24891.49"/>
    <s v="Bulk"/>
    <x v="0"/>
    <s v="completed"/>
  </r>
  <r>
    <n v="202400453"/>
    <x v="121"/>
    <n v="2024"/>
    <x v="1"/>
    <n v="6"/>
    <x v="35"/>
    <s v="John Rodriguez"/>
    <x v="2"/>
    <s v="USA"/>
    <x v="2"/>
    <x v="10"/>
    <n v="1"/>
    <n v="470.07"/>
    <n v="470.07"/>
    <s v="Single"/>
    <x v="1"/>
    <s v="completed"/>
  </r>
  <r>
    <n v="202400652"/>
    <x v="135"/>
    <n v="2024"/>
    <x v="2"/>
    <n v="1"/>
    <x v="58"/>
    <s v="Carlos Nilsson"/>
    <x v="0"/>
    <s v="Germany"/>
    <x v="0"/>
    <x v="8"/>
    <n v="4"/>
    <n v="877.59"/>
    <n v="3510.36"/>
    <s v="Medium"/>
    <x v="3"/>
    <s v="shipped"/>
  </r>
  <r>
    <n v="202400254"/>
    <x v="235"/>
    <n v="2024"/>
    <x v="2"/>
    <n v="3"/>
    <x v="18"/>
    <s v="Marie Tanaka"/>
    <x v="0"/>
    <s v="Brazil"/>
    <x v="1"/>
    <x v="6"/>
    <n v="4"/>
    <n v="273.69"/>
    <n v="1094.76"/>
    <s v="Medium"/>
    <x v="3"/>
    <s v="completed"/>
  </r>
  <r>
    <n v="202400304"/>
    <x v="340"/>
    <n v="2024"/>
    <x v="3"/>
    <n v="7"/>
    <x v="59"/>
    <s v="Anna Nilsson"/>
    <x v="1"/>
    <s v="Spain"/>
    <x v="0"/>
    <x v="5"/>
    <n v="4"/>
    <n v="1365.93"/>
    <n v="5463.72"/>
    <s v="Medium"/>
    <x v="1"/>
    <s v="completed"/>
  </r>
  <r>
    <n v="202400897"/>
    <x v="341"/>
    <n v="2024"/>
    <x v="0"/>
    <n v="12"/>
    <x v="74"/>
    <s v="Lisa Nilsson"/>
    <x v="3"/>
    <s v="France"/>
    <x v="0"/>
    <x v="4"/>
    <n v="6"/>
    <n v="1261.1099999999999"/>
    <n v="7566.66"/>
    <s v="Medium"/>
    <x v="0"/>
    <s v="cancelled"/>
  </r>
  <r>
    <n v="202401187"/>
    <x v="190"/>
    <n v="2024"/>
    <x v="1"/>
    <n v="6"/>
    <x v="44"/>
    <s v="Lucas Muller"/>
    <x v="1"/>
    <s v="Netherlands"/>
    <x v="0"/>
    <x v="8"/>
    <n v="1"/>
    <n v="1845.61"/>
    <n v="1845.61"/>
    <s v="Single"/>
    <x v="1"/>
    <s v="completed"/>
  </r>
  <r>
    <n v="202400881"/>
    <x v="246"/>
    <n v="2024"/>
    <x v="0"/>
    <n v="11"/>
    <x v="23"/>
    <s v="David Martin"/>
    <x v="2"/>
    <s v="Canada"/>
    <x v="2"/>
    <x v="5"/>
    <n v="3"/>
    <n v="144.53"/>
    <n v="433.59000000000003"/>
    <s v="Medium"/>
    <x v="1"/>
    <s v="cancelled"/>
  </r>
  <r>
    <n v="202400572"/>
    <x v="219"/>
    <n v="2024"/>
    <x v="3"/>
    <n v="7"/>
    <x v="1"/>
    <s v="Carlos Muller"/>
    <x v="1"/>
    <s v="Netherlands"/>
    <x v="0"/>
    <x v="6"/>
    <n v="12"/>
    <n v="1913.98"/>
    <n v="22967.760000000002"/>
    <s v="Bulk"/>
    <x v="1"/>
    <s v="pending"/>
  </r>
  <r>
    <n v="202401012"/>
    <x v="223"/>
    <n v="2024"/>
    <x v="0"/>
    <n v="12"/>
    <x v="73"/>
    <s v="Emma Dupont"/>
    <x v="1"/>
    <s v="USA"/>
    <x v="2"/>
    <x v="7"/>
    <n v="9"/>
    <n v="339.86"/>
    <n v="3058.7400000000002"/>
    <s v="Medium"/>
    <x v="2"/>
    <s v="completed"/>
  </r>
  <r>
    <n v="202400624"/>
    <x v="283"/>
    <n v="2024"/>
    <x v="0"/>
    <n v="12"/>
    <x v="43"/>
    <s v="James Garcia"/>
    <x v="2"/>
    <s v="Australia"/>
    <x v="3"/>
    <x v="1"/>
    <n v="2"/>
    <n v="688.05"/>
    <n v="1376.1"/>
    <s v="Single"/>
    <x v="1"/>
    <s v="pending"/>
  </r>
  <r>
    <n v="202400346"/>
    <x v="212"/>
    <n v="2024"/>
    <x v="0"/>
    <n v="12"/>
    <x v="42"/>
    <s v="Lisa Martin"/>
    <x v="0"/>
    <s v="Mexico"/>
    <x v="1"/>
    <x v="4"/>
    <n v="8"/>
    <n v="217.91"/>
    <n v="1743.28"/>
    <s v="Medium"/>
    <x v="1"/>
    <s v="completed"/>
  </r>
  <r>
    <n v="202401042"/>
    <x v="167"/>
    <n v="2024"/>
    <x v="0"/>
    <n v="10"/>
    <x v="64"/>
    <s v="Maria Wilson"/>
    <x v="2"/>
    <s v="Germany"/>
    <x v="0"/>
    <x v="13"/>
    <n v="2"/>
    <n v="1284.99"/>
    <n v="2569.98"/>
    <s v="Single"/>
    <x v="1"/>
    <s v="completed"/>
  </r>
  <r>
    <n v="202401037"/>
    <x v="41"/>
    <n v="2024"/>
    <x v="0"/>
    <n v="12"/>
    <x v="52"/>
    <s v="Emma Garcia"/>
    <x v="2"/>
    <s v="Mexico"/>
    <x v="1"/>
    <x v="14"/>
    <n v="12"/>
    <n v="1966.88"/>
    <n v="23602.560000000001"/>
    <s v="Bulk"/>
    <x v="3"/>
    <s v="completed"/>
  </r>
  <r>
    <n v="202400263"/>
    <x v="225"/>
    <n v="2024"/>
    <x v="3"/>
    <n v="9"/>
    <x v="1"/>
    <s v="Carlos Muller"/>
    <x v="1"/>
    <s v="Netherlands"/>
    <x v="0"/>
    <x v="3"/>
    <n v="6"/>
    <n v="1078.21"/>
    <n v="6469.26"/>
    <s v="Medium"/>
    <x v="1"/>
    <s v="completed"/>
  </r>
  <r>
    <n v="202400611"/>
    <x v="280"/>
    <n v="2024"/>
    <x v="1"/>
    <n v="6"/>
    <x v="66"/>
    <s v="Sarah Leclerc"/>
    <x v="3"/>
    <s v="Germany"/>
    <x v="0"/>
    <x v="11"/>
    <n v="12"/>
    <n v="1651.51"/>
    <n v="19818.12"/>
    <s v="Bulk"/>
    <x v="2"/>
    <s v="completed"/>
  </r>
  <r>
    <n v="202400298"/>
    <x v="142"/>
    <n v="2024"/>
    <x v="0"/>
    <n v="12"/>
    <x v="67"/>
    <s v="Nora Chen"/>
    <x v="3"/>
    <s v="UK"/>
    <x v="0"/>
    <x v="13"/>
    <n v="5"/>
    <n v="521.72"/>
    <n v="2608.6000000000004"/>
    <s v="Medium"/>
    <x v="1"/>
    <s v="completed"/>
  </r>
  <r>
    <n v="202400990"/>
    <x v="54"/>
    <n v="2024"/>
    <x v="3"/>
    <n v="9"/>
    <x v="74"/>
    <s v="Lisa Nilsson"/>
    <x v="3"/>
    <s v="France"/>
    <x v="0"/>
    <x v="10"/>
    <n v="11"/>
    <n v="68.87"/>
    <n v="757.57"/>
    <s v="Bulk"/>
    <x v="2"/>
    <s v="completed"/>
  </r>
  <r>
    <n v="202400415"/>
    <x v="154"/>
    <n v="2024"/>
    <x v="2"/>
    <n v="1"/>
    <x v="0"/>
    <s v="Sophie Brown"/>
    <x v="0"/>
    <s v="France"/>
    <x v="0"/>
    <x v="0"/>
    <n v="7"/>
    <n v="963.16"/>
    <n v="6742.12"/>
    <s v="Medium"/>
    <x v="3"/>
    <s v="completed"/>
  </r>
  <r>
    <n v="202400151"/>
    <x v="342"/>
    <n v="2024"/>
    <x v="2"/>
    <n v="1"/>
    <x v="45"/>
    <s v="Pierre Wilson"/>
    <x v="3"/>
    <s v="Australia"/>
    <x v="3"/>
    <x v="6"/>
    <n v="2"/>
    <n v="304.22000000000003"/>
    <n v="608.44000000000005"/>
    <s v="Single"/>
    <x v="1"/>
    <s v="refunded"/>
  </r>
  <r>
    <n v="202400473"/>
    <x v="312"/>
    <n v="2024"/>
    <x v="1"/>
    <n v="4"/>
    <x v="21"/>
    <s v="Anna Johnson"/>
    <x v="1"/>
    <s v="Australia"/>
    <x v="3"/>
    <x v="13"/>
    <n v="4"/>
    <n v="1481"/>
    <n v="5924"/>
    <s v="Medium"/>
    <x v="0"/>
    <s v="shipped"/>
  </r>
  <r>
    <n v="202400641"/>
    <x v="281"/>
    <n v="2024"/>
    <x v="0"/>
    <n v="12"/>
    <x v="13"/>
    <s v="Nora Brown"/>
    <x v="3"/>
    <s v="Italy"/>
    <x v="0"/>
    <x v="5"/>
    <n v="8"/>
    <n v="1559.6"/>
    <n v="12476.8"/>
    <s v="Medium"/>
    <x v="0"/>
    <s v="cancelled"/>
  </r>
  <r>
    <n v="202401141"/>
    <x v="179"/>
    <n v="2024"/>
    <x v="2"/>
    <n v="2"/>
    <x v="75"/>
    <s v="Maria Muller"/>
    <x v="2"/>
    <s v="Australia"/>
    <x v="3"/>
    <x v="0"/>
    <n v="9"/>
    <n v="1492.89"/>
    <n v="13436.01"/>
    <s v="Medium"/>
    <x v="0"/>
    <s v="refunded"/>
  </r>
  <r>
    <n v="202400551"/>
    <x v="218"/>
    <n v="2024"/>
    <x v="2"/>
    <n v="3"/>
    <x v="22"/>
    <s v="Nora Muller"/>
    <x v="0"/>
    <s v="Japan"/>
    <x v="3"/>
    <x v="3"/>
    <n v="1"/>
    <n v="1807.02"/>
    <n v="1807.02"/>
    <s v="Single"/>
    <x v="3"/>
    <s v="cancelled"/>
  </r>
  <r>
    <n v="202400929"/>
    <x v="263"/>
    <n v="2024"/>
    <x v="0"/>
    <n v="10"/>
    <x v="21"/>
    <s v="Anna Johnson"/>
    <x v="1"/>
    <s v="Australia"/>
    <x v="3"/>
    <x v="2"/>
    <n v="11"/>
    <n v="1928.82"/>
    <n v="21217.02"/>
    <s v="Bulk"/>
    <x v="1"/>
    <s v="pending"/>
  </r>
  <r>
    <n v="202400489"/>
    <x v="153"/>
    <n v="2024"/>
    <x v="1"/>
    <n v="5"/>
    <x v="69"/>
    <s v="Pierre Rossi"/>
    <x v="3"/>
    <s v="Germany"/>
    <x v="0"/>
    <x v="13"/>
    <n v="3"/>
    <n v="1382.47"/>
    <n v="4147.41"/>
    <s v="Medium"/>
    <x v="0"/>
    <s v="pending"/>
  </r>
  <r>
    <n v="202401092"/>
    <x v="12"/>
    <n v="2024"/>
    <x v="0"/>
    <n v="10"/>
    <x v="38"/>
    <s v="Nora Rodriguez"/>
    <x v="3"/>
    <s v="Germany"/>
    <x v="0"/>
    <x v="5"/>
    <n v="2"/>
    <n v="132.61000000000001"/>
    <n v="265.22000000000003"/>
    <s v="Single"/>
    <x v="2"/>
    <s v="completed"/>
  </r>
  <r>
    <n v="202400147"/>
    <x v="234"/>
    <n v="2024"/>
    <x v="1"/>
    <n v="5"/>
    <x v="76"/>
    <s v="Sophie Brown"/>
    <x v="1"/>
    <s v="USA"/>
    <x v="2"/>
    <x v="3"/>
    <n v="12"/>
    <n v="1510.11"/>
    <n v="18121.32"/>
    <s v="Bulk"/>
    <x v="0"/>
    <s v="completed"/>
  </r>
  <r>
    <n v="202400403"/>
    <x v="245"/>
    <n v="2024"/>
    <x v="3"/>
    <n v="9"/>
    <x v="75"/>
    <s v="Maria Muller"/>
    <x v="2"/>
    <s v="Australia"/>
    <x v="3"/>
    <x v="12"/>
    <n v="7"/>
    <n v="1460.31"/>
    <n v="10222.17"/>
    <s v="Medium"/>
    <x v="2"/>
    <s v="pending"/>
  </r>
  <r>
    <n v="202400955"/>
    <x v="321"/>
    <n v="2024"/>
    <x v="3"/>
    <n v="7"/>
    <x v="33"/>
    <s v="Sarah Rodriguez"/>
    <x v="0"/>
    <s v="Australia"/>
    <x v="3"/>
    <x v="11"/>
    <n v="2"/>
    <n v="1498.68"/>
    <n v="2997.36"/>
    <s v="Single"/>
    <x v="2"/>
    <s v="completed"/>
  </r>
  <r>
    <n v="202401136"/>
    <x v="307"/>
    <n v="2024"/>
    <x v="2"/>
    <n v="1"/>
    <x v="18"/>
    <s v="Marie Tanaka"/>
    <x v="0"/>
    <s v="Brazil"/>
    <x v="1"/>
    <x v="6"/>
    <n v="4"/>
    <n v="1794.23"/>
    <n v="7176.92"/>
    <s v="Medium"/>
    <x v="2"/>
    <s v="completed"/>
  </r>
  <r>
    <n v="202400464"/>
    <x v="290"/>
    <n v="2024"/>
    <x v="0"/>
    <n v="10"/>
    <x v="56"/>
    <s v="Lisa Chen"/>
    <x v="2"/>
    <s v="Spain"/>
    <x v="0"/>
    <x v="13"/>
    <n v="4"/>
    <n v="1193.0899999999999"/>
    <n v="4772.3599999999997"/>
    <s v="Medium"/>
    <x v="2"/>
    <s v="completed"/>
  </r>
  <r>
    <n v="202400187"/>
    <x v="27"/>
    <n v="2024"/>
    <x v="1"/>
    <n v="6"/>
    <x v="33"/>
    <s v="Sarah Rodriguez"/>
    <x v="0"/>
    <s v="Australia"/>
    <x v="3"/>
    <x v="13"/>
    <n v="12"/>
    <n v="1974.01"/>
    <n v="23688.12"/>
    <s v="Bulk"/>
    <x v="3"/>
    <s v="shipped"/>
  </r>
  <r>
    <n v="202400609"/>
    <x v="308"/>
    <n v="2024"/>
    <x v="3"/>
    <n v="8"/>
    <x v="68"/>
    <s v="Nora Rodriguez"/>
    <x v="0"/>
    <s v="Mexico"/>
    <x v="1"/>
    <x v="4"/>
    <n v="3"/>
    <n v="541.26"/>
    <n v="1623.78"/>
    <s v="Medium"/>
    <x v="1"/>
    <s v="completed"/>
  </r>
  <r>
    <n v="202400144"/>
    <x v="343"/>
    <n v="2024"/>
    <x v="2"/>
    <n v="3"/>
    <x v="54"/>
    <s v="James Brown"/>
    <x v="0"/>
    <s v="France"/>
    <x v="0"/>
    <x v="5"/>
    <n v="9"/>
    <n v="1016.8"/>
    <n v="9151.1999999999989"/>
    <s v="Medium"/>
    <x v="1"/>
    <s v="completed"/>
  </r>
  <r>
    <n v="202400752"/>
    <x v="287"/>
    <n v="2024"/>
    <x v="3"/>
    <n v="9"/>
    <x v="52"/>
    <s v="Emma Garcia"/>
    <x v="2"/>
    <s v="Mexico"/>
    <x v="1"/>
    <x v="13"/>
    <n v="13"/>
    <n v="474.12"/>
    <n v="6163.56"/>
    <s v="Bulk"/>
    <x v="2"/>
    <s v="pending"/>
  </r>
  <r>
    <n v="202400982"/>
    <x v="88"/>
    <n v="2024"/>
    <x v="2"/>
    <n v="3"/>
    <x v="28"/>
    <s v="Julia Nilsson"/>
    <x v="3"/>
    <s v="Brazil"/>
    <x v="1"/>
    <x v="9"/>
    <n v="12"/>
    <n v="1172.67"/>
    <n v="14072.04"/>
    <s v="Bulk"/>
    <x v="1"/>
    <s v="shipped"/>
  </r>
  <r>
    <n v="202400198"/>
    <x v="231"/>
    <n v="2024"/>
    <x v="3"/>
    <n v="7"/>
    <x v="34"/>
    <s v="Anna Garcia"/>
    <x v="0"/>
    <s v="Germany"/>
    <x v="0"/>
    <x v="2"/>
    <n v="0"/>
    <n v="245.94"/>
    <n v="0"/>
    <s v="Single"/>
    <x v="1"/>
    <s v="completed"/>
  </r>
  <r>
    <n v="202400884"/>
    <x v="344"/>
    <n v="2024"/>
    <x v="3"/>
    <n v="9"/>
    <x v="39"/>
    <s v="John Chen"/>
    <x v="2"/>
    <s v="Germany"/>
    <x v="0"/>
    <x v="11"/>
    <n v="1"/>
    <n v="1727.12"/>
    <n v="1727.12"/>
    <s v="Single"/>
    <x v="1"/>
    <s v="refunded"/>
  </r>
  <r>
    <n v="202400280"/>
    <x v="11"/>
    <n v="2024"/>
    <x v="2"/>
    <n v="2"/>
    <x v="49"/>
    <s v="Marie Smith"/>
    <x v="1"/>
    <s v="Netherlands"/>
    <x v="0"/>
    <x v="14"/>
    <n v="3"/>
    <n v="809.44"/>
    <n v="2428.3200000000002"/>
    <s v="Medium"/>
    <x v="2"/>
    <s v="pending"/>
  </r>
  <r>
    <n v="202400294"/>
    <x v="16"/>
    <n v="2024"/>
    <x v="3"/>
    <n v="7"/>
    <x v="25"/>
    <s v="Sophie Martin"/>
    <x v="3"/>
    <s v="Canada"/>
    <x v="2"/>
    <x v="10"/>
    <n v="9"/>
    <n v="1150.54"/>
    <n v="10354.86"/>
    <s v="Medium"/>
    <x v="1"/>
    <s v="completed"/>
  </r>
  <r>
    <n v="202401100"/>
    <x v="77"/>
    <n v="2024"/>
    <x v="2"/>
    <n v="2"/>
    <x v="67"/>
    <s v="Nora Chen"/>
    <x v="3"/>
    <s v="UK"/>
    <x v="0"/>
    <x v="0"/>
    <n v="8"/>
    <n v="60.95"/>
    <n v="487.6"/>
    <s v="Medium"/>
    <x v="2"/>
    <s v="shipped"/>
  </r>
  <r>
    <n v="202400401"/>
    <x v="8"/>
    <n v="2024"/>
    <x v="2"/>
    <n v="3"/>
    <x v="2"/>
    <s v="John Wilson"/>
    <x v="0"/>
    <s v="Mexico"/>
    <x v="1"/>
    <x v="12"/>
    <n v="13"/>
    <n v="695.65"/>
    <n v="9043.4499999999989"/>
    <s v="Bulk"/>
    <x v="1"/>
    <s v="cancelled"/>
  </r>
  <r>
    <n v="202400123"/>
    <x v="163"/>
    <n v="2024"/>
    <x v="1"/>
    <n v="6"/>
    <x v="70"/>
    <s v="David Smith"/>
    <x v="0"/>
    <s v="Canada"/>
    <x v="2"/>
    <x v="6"/>
    <n v="5"/>
    <n v="651.08000000000004"/>
    <n v="3255.4"/>
    <s v="Medium"/>
    <x v="0"/>
    <s v="refunded"/>
  </r>
  <r>
    <n v="202400203"/>
    <x v="56"/>
    <n v="2024"/>
    <x v="3"/>
    <n v="8"/>
    <x v="35"/>
    <s v="John Rodriguez"/>
    <x v="2"/>
    <s v="USA"/>
    <x v="2"/>
    <x v="7"/>
    <n v="1"/>
    <n v="235.06"/>
    <n v="235.06"/>
    <s v="Single"/>
    <x v="1"/>
    <s v="completed"/>
  </r>
  <r>
    <n v="202400836"/>
    <x v="313"/>
    <n v="2024"/>
    <x v="1"/>
    <n v="5"/>
    <x v="59"/>
    <s v="Anna Nilsson"/>
    <x v="1"/>
    <s v="Spain"/>
    <x v="0"/>
    <x v="1"/>
    <n v="3"/>
    <n v="90.37"/>
    <n v="271.11"/>
    <s v="Medium"/>
    <x v="3"/>
    <s v="completed"/>
  </r>
  <r>
    <n v="202400247"/>
    <x v="227"/>
    <n v="2024"/>
    <x v="3"/>
    <n v="8"/>
    <x v="60"/>
    <s v="Anna Rossi"/>
    <x v="0"/>
    <s v="Italy"/>
    <x v="0"/>
    <x v="6"/>
    <n v="11"/>
    <n v="1451.16"/>
    <n v="15962.76"/>
    <s v="Bulk"/>
    <x v="2"/>
    <s v="completed"/>
  </r>
  <r>
    <n v="202401151"/>
    <x v="344"/>
    <n v="2024"/>
    <x v="3"/>
    <n v="9"/>
    <x v="15"/>
    <s v="Anna Muller"/>
    <x v="1"/>
    <s v="Germany"/>
    <x v="0"/>
    <x v="4"/>
    <n v="11"/>
    <n v="1804.97"/>
    <n v="19854.670000000002"/>
    <s v="Bulk"/>
    <x v="1"/>
    <s v="completed"/>
  </r>
  <r>
    <n v="202400385"/>
    <x v="13"/>
    <n v="2024"/>
    <x v="1"/>
    <n v="6"/>
    <x v="61"/>
    <s v="Anna Dupont"/>
    <x v="0"/>
    <s v="Brazil"/>
    <x v="1"/>
    <x v="9"/>
    <n v="7"/>
    <n v="467.99"/>
    <n v="3275.9300000000003"/>
    <s v="Medium"/>
    <x v="3"/>
    <s v="completed"/>
  </r>
  <r>
    <n v="202400855"/>
    <x v="345"/>
    <n v="2024"/>
    <x v="3"/>
    <n v="7"/>
    <x v="47"/>
    <s v="Pierre Brown"/>
    <x v="0"/>
    <s v="Japan"/>
    <x v="3"/>
    <x v="0"/>
    <n v="14"/>
    <n v="1219.08"/>
    <n v="17067.12"/>
    <s v="Bulk"/>
    <x v="3"/>
    <s v="completed"/>
  </r>
  <r>
    <n v="202400220"/>
    <x v="194"/>
    <n v="2024"/>
    <x v="1"/>
    <n v="5"/>
    <x v="21"/>
    <s v="Anna Johnson"/>
    <x v="1"/>
    <s v="Australia"/>
    <x v="3"/>
    <x v="5"/>
    <n v="2"/>
    <n v="1932.43"/>
    <n v="3864.86"/>
    <s v="Single"/>
    <x v="2"/>
    <s v="cancelled"/>
  </r>
  <r>
    <n v="202400642"/>
    <x v="243"/>
    <n v="2024"/>
    <x v="3"/>
    <n v="8"/>
    <x v="64"/>
    <s v="Maria Wilson"/>
    <x v="2"/>
    <s v="Germany"/>
    <x v="0"/>
    <x v="13"/>
    <n v="13"/>
    <n v="1056.3900000000001"/>
    <n v="13733.070000000002"/>
    <s v="Bulk"/>
    <x v="1"/>
    <s v="completed"/>
  </r>
  <r>
    <n v="202400002"/>
    <x v="89"/>
    <n v="2024"/>
    <x v="2"/>
    <n v="1"/>
    <x v="7"/>
    <s v="Sophie Johnson"/>
    <x v="1"/>
    <s v="USA"/>
    <x v="2"/>
    <x v="12"/>
    <n v="11"/>
    <n v="851.37"/>
    <n v="9365.07"/>
    <s v="Bulk"/>
    <x v="2"/>
    <s v="completed"/>
  </r>
  <r>
    <n v="202400113"/>
    <x v="123"/>
    <n v="2024"/>
    <x v="0"/>
    <n v="12"/>
    <x v="79"/>
    <s v="Pierre Smith"/>
    <x v="0"/>
    <s v="Netherlands"/>
    <x v="0"/>
    <x v="10"/>
    <n v="8"/>
    <n v="1894.83"/>
    <n v="15158.64"/>
    <s v="Medium"/>
    <x v="1"/>
    <s v="refunded"/>
  </r>
  <r>
    <n v="202400699"/>
    <x v="144"/>
    <n v="2024"/>
    <x v="1"/>
    <n v="6"/>
    <x v="58"/>
    <s v="Carlos Nilsson"/>
    <x v="0"/>
    <s v="Germany"/>
    <x v="0"/>
    <x v="2"/>
    <n v="7"/>
    <n v="332.63"/>
    <n v="2328.41"/>
    <s v="Medium"/>
    <x v="3"/>
    <s v="refunded"/>
  </r>
  <r>
    <n v="202400952"/>
    <x v="322"/>
    <n v="2024"/>
    <x v="0"/>
    <n v="10"/>
    <x v="14"/>
    <s v="Sophie Nilsson"/>
    <x v="2"/>
    <s v="Japan"/>
    <x v="3"/>
    <x v="8"/>
    <n v="3"/>
    <n v="65.61"/>
    <n v="196.82999999999998"/>
    <s v="Medium"/>
    <x v="2"/>
    <s v="completed"/>
  </r>
  <r>
    <n v="202401090"/>
    <x v="139"/>
    <n v="2024"/>
    <x v="2"/>
    <n v="1"/>
    <x v="40"/>
    <s v="John Rossi"/>
    <x v="0"/>
    <s v="Netherlands"/>
    <x v="0"/>
    <x v="12"/>
    <n v="6"/>
    <n v="1594.56"/>
    <n v="9567.36"/>
    <s v="Medium"/>
    <x v="1"/>
    <s v="completed"/>
  </r>
  <r>
    <n v="202400442"/>
    <x v="192"/>
    <n v="2024"/>
    <x v="2"/>
    <n v="3"/>
    <x v="27"/>
    <s v="Paul Rodriguez"/>
    <x v="2"/>
    <s v="Spain"/>
    <x v="0"/>
    <x v="14"/>
    <n v="12"/>
    <n v="815.71"/>
    <n v="9788.52"/>
    <s v="Bulk"/>
    <x v="3"/>
    <s v="completed"/>
  </r>
  <r>
    <n v="202400664"/>
    <x v="240"/>
    <n v="2024"/>
    <x v="0"/>
    <n v="10"/>
    <x v="71"/>
    <s v="Carlos Dupont"/>
    <x v="0"/>
    <s v="Netherlands"/>
    <x v="0"/>
    <x v="6"/>
    <n v="4"/>
    <n v="477.46"/>
    <n v="1909.84"/>
    <s v="Medium"/>
    <x v="0"/>
    <s v="completed"/>
  </r>
  <r>
    <n v="202401107"/>
    <x v="166"/>
    <n v="2024"/>
    <x v="2"/>
    <n v="3"/>
    <x v="67"/>
    <s v="Nora Chen"/>
    <x v="3"/>
    <s v="UK"/>
    <x v="0"/>
    <x v="11"/>
    <n v="7"/>
    <n v="1342.31"/>
    <n v="9396.17"/>
    <s v="Medium"/>
    <x v="2"/>
    <s v="completed"/>
  </r>
  <r>
    <n v="202400318"/>
    <x v="110"/>
    <n v="2024"/>
    <x v="3"/>
    <n v="9"/>
    <x v="68"/>
    <s v="Nora Rodriguez"/>
    <x v="0"/>
    <s v="Mexico"/>
    <x v="1"/>
    <x v="5"/>
    <n v="12"/>
    <n v="1260.79"/>
    <n v="15129.48"/>
    <s v="Bulk"/>
    <x v="2"/>
    <s v="completed"/>
  </r>
  <r>
    <n v="202400649"/>
    <x v="24"/>
    <n v="2024"/>
    <x v="2"/>
    <n v="1"/>
    <x v="28"/>
    <s v="Julia Nilsson"/>
    <x v="3"/>
    <s v="Brazil"/>
    <x v="1"/>
    <x v="8"/>
    <n v="8"/>
    <n v="1836.95"/>
    <n v="14695.6"/>
    <s v="Medium"/>
    <x v="2"/>
    <s v="completed"/>
  </r>
  <r>
    <n v="202400710"/>
    <x v="168"/>
    <n v="2024"/>
    <x v="3"/>
    <n v="7"/>
    <x v="35"/>
    <s v="John Rodriguez"/>
    <x v="2"/>
    <s v="USA"/>
    <x v="2"/>
    <x v="9"/>
    <n v="13"/>
    <n v="91.95"/>
    <n v="1195.3500000000001"/>
    <s v="Bulk"/>
    <x v="2"/>
    <s v="cancelled"/>
  </r>
  <r>
    <n v="202400973"/>
    <x v="45"/>
    <n v="2024"/>
    <x v="1"/>
    <n v="4"/>
    <x v="20"/>
    <s v="Lucas Rossi"/>
    <x v="0"/>
    <s v="Australia"/>
    <x v="3"/>
    <x v="6"/>
    <n v="7"/>
    <n v="1247.77"/>
    <n v="8734.39"/>
    <s v="Medium"/>
    <x v="1"/>
    <s v="pending "/>
  </r>
  <r>
    <n v="202400628"/>
    <x v="283"/>
    <n v="2024"/>
    <x v="0"/>
    <n v="12"/>
    <x v="34"/>
    <s v="Anna Garcia"/>
    <x v="0"/>
    <s v="Germany"/>
    <x v="0"/>
    <x v="8"/>
    <n v="9"/>
    <n v="962.44"/>
    <n v="8661.9600000000009"/>
    <s v="Medium"/>
    <x v="2"/>
    <s v="refunded"/>
  </r>
  <r>
    <n v="202400633"/>
    <x v="149"/>
    <n v="2024"/>
    <x v="0"/>
    <n v="12"/>
    <x v="41"/>
    <s v="Sophie Garcia"/>
    <x v="1"/>
    <s v="USA"/>
    <x v="2"/>
    <x v="10"/>
    <n v="10"/>
    <n v="1461.44"/>
    <n v="14614.400000000001"/>
    <s v="Bulk"/>
    <x v="0"/>
    <s v="shipped"/>
  </r>
  <r>
    <n v="202401183"/>
    <x v="11"/>
    <n v="2024"/>
    <x v="2"/>
    <n v="2"/>
    <x v="1"/>
    <s v="Carlos Muller"/>
    <x v="1"/>
    <s v="Netherlands"/>
    <x v="0"/>
    <x v="7"/>
    <n v="9"/>
    <n v="1030.04"/>
    <n v="9270.36"/>
    <s v="Medium"/>
    <x v="2"/>
    <s v="pending "/>
  </r>
  <r>
    <n v="202401118"/>
    <x v="346"/>
    <n v="2024"/>
    <x v="3"/>
    <n v="9"/>
    <x v="6"/>
    <s v="Anna Johnson"/>
    <x v="0"/>
    <s v="Germany"/>
    <x v="0"/>
    <x v="14"/>
    <n v="9"/>
    <n v="454.76"/>
    <n v="4092.84"/>
    <s v="Medium"/>
    <x v="1"/>
    <s v="completed"/>
  </r>
  <r>
    <n v="202400796"/>
    <x v="148"/>
    <n v="2024"/>
    <x v="1"/>
    <n v="6"/>
    <x v="20"/>
    <s v="Lucas Rossi"/>
    <x v="0"/>
    <s v="Australia"/>
    <x v="3"/>
    <x v="9"/>
    <n v="1"/>
    <n v="921.14"/>
    <n v="921.14"/>
    <s v="Single"/>
    <x v="1"/>
    <s v="completed"/>
  </r>
  <r>
    <n v="202400646"/>
    <x v="45"/>
    <n v="2024"/>
    <x v="1"/>
    <n v="4"/>
    <x v="10"/>
    <s v="John Garcia"/>
    <x v="3"/>
    <s v="Brazil"/>
    <x v="1"/>
    <x v="4"/>
    <n v="6"/>
    <n v="528.85"/>
    <n v="3173.1000000000004"/>
    <s v="Medium"/>
    <x v="1"/>
    <s v="completed"/>
  </r>
  <r>
    <n v="202401013"/>
    <x v="347"/>
    <n v="2024"/>
    <x v="2"/>
    <n v="2"/>
    <x v="31"/>
    <s v="Carlos Wilson"/>
    <x v="0"/>
    <s v="Australia"/>
    <x v="3"/>
    <x v="1"/>
    <n v="6"/>
    <n v="1769.26"/>
    <n v="10615.56"/>
    <s v="Medium"/>
    <x v="2"/>
    <s v="completed"/>
  </r>
  <r>
    <n v="202400557"/>
    <x v="287"/>
    <n v="2024"/>
    <x v="3"/>
    <n v="9"/>
    <x v="15"/>
    <s v="Anna Muller"/>
    <x v="1"/>
    <s v="Germany"/>
    <x v="0"/>
    <x v="10"/>
    <n v="2"/>
    <n v="1342.28"/>
    <n v="2684.56"/>
    <s v="Single"/>
    <x v="2"/>
    <s v="completed"/>
  </r>
  <r>
    <n v="202400682"/>
    <x v="102"/>
    <n v="2024"/>
    <x v="1"/>
    <n v="5"/>
    <x v="21"/>
    <s v="Anna Johnson"/>
    <x v="1"/>
    <s v="Australia"/>
    <x v="3"/>
    <x v="13"/>
    <n v="11"/>
    <n v="1419.52"/>
    <n v="15614.72"/>
    <s v="Bulk"/>
    <x v="1"/>
    <s v="completed"/>
  </r>
  <r>
    <n v="202400578"/>
    <x v="225"/>
    <n v="2024"/>
    <x v="3"/>
    <n v="9"/>
    <x v="9"/>
    <s v="Maria Martin"/>
    <x v="1"/>
    <s v="Germany"/>
    <x v="0"/>
    <x v="4"/>
    <n v="2"/>
    <n v="403.93"/>
    <n v="807.86"/>
    <s v="Single"/>
    <x v="2"/>
    <s v="completed"/>
  </r>
  <r>
    <n v="202400525"/>
    <x v="246"/>
    <n v="2024"/>
    <x v="0"/>
    <n v="11"/>
    <x v="60"/>
    <s v="Anna Rossi"/>
    <x v="0"/>
    <s v="Italy"/>
    <x v="0"/>
    <x v="7"/>
    <n v="9"/>
    <n v="1412.08"/>
    <n v="12708.72"/>
    <s v="Medium"/>
    <x v="3"/>
    <s v="cancelled"/>
  </r>
  <r>
    <n v="202401060"/>
    <x v="133"/>
    <n v="2024"/>
    <x v="1"/>
    <n v="5"/>
    <x v="50"/>
    <s v="Marie Chen"/>
    <x v="3"/>
    <s v="France"/>
    <x v="0"/>
    <x v="10"/>
    <n v="8"/>
    <n v="1514.87"/>
    <n v="12118.96"/>
    <s v="Medium"/>
    <x v="2"/>
    <s v="refunded"/>
  </r>
  <r>
    <n v="202400541"/>
    <x v="150"/>
    <n v="2024"/>
    <x v="2"/>
    <n v="1"/>
    <x v="26"/>
    <s v="Emma Leclerc"/>
    <x v="1"/>
    <s v="Canada"/>
    <x v="2"/>
    <x v="5"/>
    <n v="8"/>
    <n v="688.93"/>
    <n v="5511.44"/>
    <s v="Medium"/>
    <x v="1"/>
    <s v="completed"/>
  </r>
  <r>
    <n v="202400749"/>
    <x v="227"/>
    <n v="2024"/>
    <x v="3"/>
    <n v="8"/>
    <x v="5"/>
    <s v="James Nilsson"/>
    <x v="1"/>
    <s v="Italy"/>
    <x v="0"/>
    <x v="6"/>
    <n v="8"/>
    <n v="1346.86"/>
    <n v="10774.88"/>
    <s v="Medium"/>
    <x v="2"/>
    <s v="completed"/>
  </r>
  <r>
    <n v="202401121"/>
    <x v="179"/>
    <n v="2024"/>
    <x v="2"/>
    <n v="2"/>
    <x v="53"/>
    <s v="Nora Muller"/>
    <x v="3"/>
    <s v="USA"/>
    <x v="2"/>
    <x v="6"/>
    <n v="5"/>
    <n v="1637.3"/>
    <n v="8186.5"/>
    <s v="Medium"/>
    <x v="1"/>
    <s v="completed"/>
  </r>
  <r>
    <n v="202400485"/>
    <x v="200"/>
    <n v="2024"/>
    <x v="2"/>
    <n v="2"/>
    <x v="31"/>
    <s v="Carlos Wilson"/>
    <x v="0"/>
    <s v="Australia"/>
    <x v="3"/>
    <x v="2"/>
    <n v="1"/>
    <n v="920.72"/>
    <n v="920.72"/>
    <s v="Single"/>
    <x v="2"/>
    <s v="completed"/>
  </r>
  <r>
    <n v="202400096"/>
    <x v="63"/>
    <n v="2024"/>
    <x v="3"/>
    <n v="8"/>
    <x v="26"/>
    <s v="Emma Leclerc"/>
    <x v="1"/>
    <s v="Canada"/>
    <x v="2"/>
    <x v="4"/>
    <n v="2"/>
    <n v="929.25"/>
    <n v="1858.5"/>
    <s v="Single"/>
    <x v="3"/>
    <s v="completed"/>
  </r>
  <r>
    <n v="202401021"/>
    <x v="130"/>
    <n v="2024"/>
    <x v="0"/>
    <n v="10"/>
    <x v="13"/>
    <s v="Nora Brown"/>
    <x v="3"/>
    <s v="Italy"/>
    <x v="0"/>
    <x v="14"/>
    <n v="7"/>
    <n v="1238.49"/>
    <n v="8669.43"/>
    <s v="Medium"/>
    <x v="0"/>
    <s v="cancelled"/>
  </r>
  <r>
    <n v="202400564"/>
    <x v="199"/>
    <n v="2024"/>
    <x v="1"/>
    <n v="6"/>
    <x v="9"/>
    <s v="Maria Martin"/>
    <x v="1"/>
    <s v="Germany"/>
    <x v="0"/>
    <x v="11"/>
    <n v="8"/>
    <n v="910.84"/>
    <n v="7286.72"/>
    <s v="Medium"/>
    <x v="0"/>
    <s v="refunded"/>
  </r>
  <r>
    <n v="202400743"/>
    <x v="192"/>
    <n v="2024"/>
    <x v="2"/>
    <n v="3"/>
    <x v="59"/>
    <s v="Anna Nilsson"/>
    <x v="1"/>
    <s v="Spain"/>
    <x v="0"/>
    <x v="10"/>
    <n v="8"/>
    <n v="1523.14"/>
    <n v="12185.12"/>
    <s v="Medium"/>
    <x v="0"/>
    <s v="shipped"/>
  </r>
  <r>
    <n v="202400864"/>
    <x v="34"/>
    <n v="2024"/>
    <x v="3"/>
    <n v="9"/>
    <x v="24"/>
    <s v="Lucas Tanaka"/>
    <x v="1"/>
    <s v="Mexico"/>
    <x v="1"/>
    <x v="13"/>
    <n v="2"/>
    <n v="1999.23"/>
    <n v="3998.46"/>
    <s v="Single"/>
    <x v="3"/>
    <s v="pending "/>
  </r>
  <r>
    <n v="202400892"/>
    <x v="94"/>
    <n v="2024"/>
    <x v="3"/>
    <n v="7"/>
    <x v="68"/>
    <s v="Nora Rodriguez"/>
    <x v="0"/>
    <s v="Mexico"/>
    <x v="1"/>
    <x v="13"/>
    <n v="8"/>
    <n v="1208.8499999999999"/>
    <n v="9670.7999999999993"/>
    <s v="Medium"/>
    <x v="2"/>
    <s v="pending"/>
  </r>
  <r>
    <n v="202401039"/>
    <x v="76"/>
    <n v="2024"/>
    <x v="3"/>
    <n v="9"/>
    <x v="36"/>
    <s v="Lisa Chen"/>
    <x v="0"/>
    <s v="France"/>
    <x v="0"/>
    <x v="14"/>
    <n v="13"/>
    <n v="1384.72"/>
    <n v="18001.36"/>
    <s v="Bulk"/>
    <x v="1"/>
    <s v="completed"/>
  </r>
  <r>
    <n v="202400207"/>
    <x v="271"/>
    <n v="2024"/>
    <x v="0"/>
    <n v="11"/>
    <x v="51"/>
    <s v="David Rodriguez"/>
    <x v="1"/>
    <s v="Netherlands"/>
    <x v="0"/>
    <x v="5"/>
    <n v="14"/>
    <n v="953.84"/>
    <n v="13353.76"/>
    <s v="Bulk"/>
    <x v="2"/>
    <s v="cancelled"/>
  </r>
  <r>
    <n v="202400393"/>
    <x v="79"/>
    <n v="2024"/>
    <x v="3"/>
    <n v="9"/>
    <x v="77"/>
    <s v="Maria Smith"/>
    <x v="2"/>
    <s v="Australia"/>
    <x v="3"/>
    <x v="3"/>
    <n v="1"/>
    <n v="1385.98"/>
    <n v="1385.98"/>
    <s v="Single"/>
    <x v="2"/>
    <s v="completed"/>
  </r>
  <r>
    <n v="202400795"/>
    <x v="341"/>
    <n v="2024"/>
    <x v="0"/>
    <n v="12"/>
    <x v="10"/>
    <s v="John Garcia"/>
    <x v="3"/>
    <s v="Brazil"/>
    <x v="1"/>
    <x v="5"/>
    <n v="14"/>
    <n v="1251.17"/>
    <n v="17516.38"/>
    <s v="Bulk"/>
    <x v="0"/>
    <s v="shipped"/>
  </r>
  <r>
    <n v="202400871"/>
    <x v="272"/>
    <n v="2024"/>
    <x v="3"/>
    <n v="9"/>
    <x v="50"/>
    <s v="Marie Chen"/>
    <x v="3"/>
    <s v="France"/>
    <x v="0"/>
    <x v="14"/>
    <n v="1"/>
    <n v="1169.45"/>
    <n v="1169.45"/>
    <s v="Single"/>
    <x v="3"/>
    <s v="pending"/>
  </r>
  <r>
    <n v="202400767"/>
    <x v="348"/>
    <n v="2024"/>
    <x v="1"/>
    <n v="6"/>
    <x v="71"/>
    <s v="Carlos Dupont"/>
    <x v="0"/>
    <s v="Netherlands"/>
    <x v="0"/>
    <x v="11"/>
    <n v="4"/>
    <n v="1301.1199999999999"/>
    <n v="5204.4799999999996"/>
    <s v="Medium"/>
    <x v="3"/>
    <s v="shipped"/>
  </r>
  <r>
    <n v="202401111"/>
    <x v="310"/>
    <n v="2024"/>
    <x v="3"/>
    <n v="7"/>
    <x v="54"/>
    <s v="James Brown"/>
    <x v="0"/>
    <s v="France"/>
    <x v="0"/>
    <x v="6"/>
    <n v="10"/>
    <n v="594.64"/>
    <n v="5946.4"/>
    <s v="Bulk"/>
    <x v="2"/>
    <s v="completed"/>
  </r>
  <r>
    <n v="202401029"/>
    <x v="331"/>
    <n v="2024"/>
    <x v="0"/>
    <n v="12"/>
    <x v="33"/>
    <s v="Sarah Rodriguez"/>
    <x v="0"/>
    <s v="Australia"/>
    <x v="3"/>
    <x v="4"/>
    <n v="13"/>
    <n v="404.9"/>
    <n v="5263.7"/>
    <s v="Bulk"/>
    <x v="2"/>
    <s v="completed"/>
  </r>
  <r>
    <n v="202400643"/>
    <x v="151"/>
    <n v="2024"/>
    <x v="3"/>
    <n v="8"/>
    <x v="62"/>
    <s v="Paul Dupont"/>
    <x v="2"/>
    <s v="Netherlands"/>
    <x v="0"/>
    <x v="1"/>
    <n v="12"/>
    <n v="912.93"/>
    <n v="10955.16"/>
    <s v="Bulk"/>
    <x v="0"/>
    <s v="completed"/>
  </r>
  <r>
    <n v="202400613"/>
    <x v="20"/>
    <n v="2024"/>
    <x v="2"/>
    <n v="3"/>
    <x v="42"/>
    <s v="Lisa Martin"/>
    <x v="0"/>
    <s v="Mexico"/>
    <x v="1"/>
    <x v="7"/>
    <n v="2"/>
    <n v="1206.82"/>
    <n v="2413.64"/>
    <s v="Single"/>
    <x v="3"/>
    <s v="completed"/>
  </r>
  <r>
    <n v="202400961"/>
    <x v="154"/>
    <n v="2024"/>
    <x v="2"/>
    <n v="1"/>
    <x v="65"/>
    <s v="Lucas Muller"/>
    <x v="1"/>
    <s v="Germany"/>
    <x v="0"/>
    <x v="6"/>
    <n v="12"/>
    <n v="376.89"/>
    <n v="4522.68"/>
    <s v="Bulk"/>
    <x v="2"/>
    <s v="completed"/>
  </r>
  <r>
    <n v="202400726"/>
    <x v="26"/>
    <n v="2024"/>
    <x v="3"/>
    <n v="7"/>
    <x v="48"/>
    <s v="Paul Leclerc"/>
    <x v="3"/>
    <s v="Australia"/>
    <x v="3"/>
    <x v="11"/>
    <n v="13"/>
    <n v="714.4"/>
    <n v="9287.1999999999989"/>
    <s v="Bulk"/>
    <x v="1"/>
    <s v="pending"/>
  </r>
  <r>
    <n v="202400684"/>
    <x v="100"/>
    <n v="2024"/>
    <x v="3"/>
    <n v="8"/>
    <x v="11"/>
    <s v="Paul Martin"/>
    <x v="0"/>
    <s v="Spain"/>
    <x v="0"/>
    <x v="8"/>
    <n v="9"/>
    <n v="738.16"/>
    <n v="6643.44"/>
    <s v="Medium"/>
    <x v="2"/>
    <s v="completed"/>
  </r>
  <r>
    <n v="202400099"/>
    <x v="46"/>
    <n v="2024"/>
    <x v="2"/>
    <n v="2"/>
    <x v="69"/>
    <s v="Pierre Rossi"/>
    <x v="3"/>
    <s v="Germany"/>
    <x v="0"/>
    <x v="14"/>
    <n v="7"/>
    <n v="428.76"/>
    <n v="3001.3199999999997"/>
    <s v="Medium"/>
    <x v="0"/>
    <s v="pending"/>
  </r>
  <r>
    <n v="202400805"/>
    <x v="179"/>
    <n v="2024"/>
    <x v="2"/>
    <n v="2"/>
    <x v="16"/>
    <s v="Sophie Tanaka"/>
    <x v="3"/>
    <s v="Australia"/>
    <x v="3"/>
    <x v="14"/>
    <n v="7"/>
    <n v="808.67"/>
    <n v="5660.69"/>
    <s v="Medium"/>
    <x v="2"/>
    <s v="completed"/>
  </r>
  <r>
    <n v="202400407"/>
    <x v="145"/>
    <n v="2024"/>
    <x v="0"/>
    <n v="10"/>
    <x v="30"/>
    <s v="Anna Dupont"/>
    <x v="3"/>
    <s v="Brazil"/>
    <x v="1"/>
    <x v="2"/>
    <n v="7"/>
    <n v="1289.8599999999999"/>
    <n v="9029.0199999999986"/>
    <s v="Medium"/>
    <x v="3"/>
    <s v="completed"/>
  </r>
  <r>
    <n v="202400503"/>
    <x v="175"/>
    <n v="2024"/>
    <x v="1"/>
    <n v="5"/>
    <x v="77"/>
    <s v="Maria Smith"/>
    <x v="2"/>
    <s v="Australia"/>
    <x v="3"/>
    <x v="10"/>
    <n v="13"/>
    <n v="1189.32"/>
    <n v="15461.16"/>
    <s v="Bulk"/>
    <x v="1"/>
    <s v="completed"/>
  </r>
  <r>
    <n v="202401072"/>
    <x v="168"/>
    <n v="2024"/>
    <x v="3"/>
    <n v="7"/>
    <x v="14"/>
    <s v="Sophie Nilsson"/>
    <x v="2"/>
    <s v="Japan"/>
    <x v="3"/>
    <x v="4"/>
    <n v="6"/>
    <n v="1155.29"/>
    <n v="6931.74"/>
    <s v="Medium"/>
    <x v="2"/>
    <s v="pending"/>
  </r>
  <r>
    <n v="202401057"/>
    <x v="171"/>
    <n v="2024"/>
    <x v="2"/>
    <n v="3"/>
    <x v="37"/>
    <s v="Pierre Smith"/>
    <x v="0"/>
    <s v="Australia"/>
    <x v="3"/>
    <x v="4"/>
    <n v="12"/>
    <n v="1586.87"/>
    <n v="19042.439999999999"/>
    <s v="Bulk"/>
    <x v="3"/>
    <s v="cancelled"/>
  </r>
  <r>
    <n v="202400930"/>
    <x v="320"/>
    <n v="2024"/>
    <x v="0"/>
    <n v="11"/>
    <x v="40"/>
    <s v="John Rossi"/>
    <x v="0"/>
    <s v="Netherlands"/>
    <x v="0"/>
    <x v="0"/>
    <n v="9"/>
    <n v="880.1"/>
    <n v="7920.9000000000005"/>
    <s v="Medium"/>
    <x v="0"/>
    <s v="completed"/>
  </r>
  <r>
    <n v="202400780"/>
    <x v="121"/>
    <n v="2024"/>
    <x v="1"/>
    <n v="6"/>
    <x v="28"/>
    <s v="Julia Nilsson"/>
    <x v="3"/>
    <s v="Brazil"/>
    <x v="1"/>
    <x v="14"/>
    <n v="2"/>
    <n v="1483.1"/>
    <n v="2966.2"/>
    <s v="Single"/>
    <x v="2"/>
    <s v="completed"/>
  </r>
  <r>
    <n v="202400201"/>
    <x v="35"/>
    <n v="2024"/>
    <x v="2"/>
    <n v="1"/>
    <x v="47"/>
    <s v="Pierre Brown"/>
    <x v="0"/>
    <s v="Japan"/>
    <x v="3"/>
    <x v="6"/>
    <n v="6"/>
    <n v="954.11"/>
    <n v="5724.66"/>
    <s v="Medium"/>
    <x v="2"/>
    <s v="shipped"/>
  </r>
  <r>
    <n v="202400135"/>
    <x v="316"/>
    <n v="2024"/>
    <x v="3"/>
    <n v="8"/>
    <x v="40"/>
    <s v="John Rossi"/>
    <x v="0"/>
    <s v="Netherlands"/>
    <x v="0"/>
    <x v="9"/>
    <n v="7"/>
    <n v="100.34"/>
    <n v="702.38"/>
    <s v="Medium"/>
    <x v="2"/>
    <s v="pending "/>
  </r>
  <r>
    <n v="202401052"/>
    <x v="102"/>
    <n v="2024"/>
    <x v="1"/>
    <n v="5"/>
    <x v="7"/>
    <s v="Sophie Johnson"/>
    <x v="1"/>
    <s v="USA"/>
    <x v="2"/>
    <x v="13"/>
    <n v="3"/>
    <n v="1398.02"/>
    <n v="4194.0599999999995"/>
    <s v="Medium"/>
    <x v="3"/>
    <s v="completed"/>
  </r>
  <r>
    <n v="202400041"/>
    <x v="226"/>
    <n v="2024"/>
    <x v="2"/>
    <n v="3"/>
    <x v="27"/>
    <s v="Paul Rodriguez"/>
    <x v="2"/>
    <s v="Spain"/>
    <x v="0"/>
    <x v="5"/>
    <n v="12"/>
    <n v="815.14"/>
    <n v="9781.68"/>
    <s v="Bulk"/>
    <x v="2"/>
    <s v="shipped"/>
  </r>
  <r>
    <n v="202401018"/>
    <x v="272"/>
    <n v="2024"/>
    <x v="3"/>
    <n v="9"/>
    <x v="46"/>
    <s v="Marie Martin"/>
    <x v="3"/>
    <s v="Canada"/>
    <x v="2"/>
    <x v="12"/>
    <n v="4"/>
    <n v="1096.02"/>
    <n v="4384.08"/>
    <s v="Medium"/>
    <x v="1"/>
    <s v="cancelled"/>
  </r>
  <r>
    <n v="202400231"/>
    <x v="323"/>
    <n v="2024"/>
    <x v="0"/>
    <n v="10"/>
    <x v="24"/>
    <s v="Lucas Tanaka"/>
    <x v="1"/>
    <s v="Mexico"/>
    <x v="1"/>
    <x v="1"/>
    <n v="3"/>
    <n v="1762.93"/>
    <n v="5288.79"/>
    <s v="Medium"/>
    <x v="1"/>
    <s v="completed"/>
  </r>
  <r>
    <n v="202400379"/>
    <x v="243"/>
    <n v="2024"/>
    <x v="3"/>
    <n v="8"/>
    <x v="47"/>
    <s v="Pierre Brown"/>
    <x v="0"/>
    <s v="Japan"/>
    <x v="3"/>
    <x v="2"/>
    <n v="13"/>
    <n v="1560.87"/>
    <n v="20291.309999999998"/>
    <s v="Bulk"/>
    <x v="1"/>
    <s v="refunded"/>
  </r>
  <r>
    <n v="202400289"/>
    <x v="328"/>
    <n v="2024"/>
    <x v="1"/>
    <n v="4"/>
    <x v="2"/>
    <s v="John Wilson"/>
    <x v="0"/>
    <s v="Mexico"/>
    <x v="1"/>
    <x v="0"/>
    <n v="10"/>
    <n v="1163.42"/>
    <n v="11634.2"/>
    <s v="Bulk"/>
    <x v="2"/>
    <s v="completed"/>
  </r>
  <r>
    <n v="202400419"/>
    <x v="101"/>
    <n v="2024"/>
    <x v="3"/>
    <n v="8"/>
    <x v="6"/>
    <s v="Anna Johnson"/>
    <x v="0"/>
    <s v="Germany"/>
    <x v="0"/>
    <x v="3"/>
    <n v="7"/>
    <n v="1587.88"/>
    <n v="11115.16"/>
    <s v="Medium"/>
    <x v="2"/>
    <s v="cancelled"/>
  </r>
  <r>
    <n v="202400392"/>
    <x v="319"/>
    <n v="2024"/>
    <x v="0"/>
    <n v="11"/>
    <x v="69"/>
    <s v="Pierre Rossi"/>
    <x v="3"/>
    <s v="Germany"/>
    <x v="0"/>
    <x v="13"/>
    <n v="10"/>
    <n v="377.29"/>
    <n v="3772.9"/>
    <s v="Bulk"/>
    <x v="1"/>
    <s v="cancelled"/>
  </r>
  <r>
    <n v="202400593"/>
    <x v="238"/>
    <n v="2024"/>
    <x v="3"/>
    <n v="8"/>
    <x v="19"/>
    <s v="John Smith"/>
    <x v="3"/>
    <s v="USA"/>
    <x v="2"/>
    <x v="4"/>
    <n v="4"/>
    <n v="1027.8699999999999"/>
    <n v="4111.4799999999996"/>
    <s v="Medium"/>
    <x v="3"/>
    <s v="completed"/>
  </r>
  <r>
    <n v="202401087"/>
    <x v="284"/>
    <n v="2024"/>
    <x v="3"/>
    <n v="8"/>
    <x v="55"/>
    <s v="Sarah Johnson"/>
    <x v="2"/>
    <s v="Germany"/>
    <x v="0"/>
    <x v="6"/>
    <n v="7"/>
    <n v="880.38"/>
    <n v="6162.66"/>
    <s v="Medium"/>
    <x v="1"/>
    <s v="completed"/>
  </r>
  <r>
    <n v="202400648"/>
    <x v="6"/>
    <n v="2024"/>
    <x v="3"/>
    <n v="9"/>
    <x v="32"/>
    <s v="Marie Nilsson"/>
    <x v="1"/>
    <s v="Brazil"/>
    <x v="1"/>
    <x v="7"/>
    <n v="9"/>
    <n v="1804.77"/>
    <n v="16242.93"/>
    <s v="Medium"/>
    <x v="0"/>
    <s v="cancelled"/>
  </r>
  <r>
    <n v="202400521"/>
    <x v="21"/>
    <n v="2024"/>
    <x v="3"/>
    <n v="8"/>
    <x v="9"/>
    <s v="Maria Martin"/>
    <x v="1"/>
    <s v="Germany"/>
    <x v="0"/>
    <x v="7"/>
    <n v="4"/>
    <n v="1279.6099999999999"/>
    <n v="5118.4399999999996"/>
    <s v="Medium"/>
    <x v="0"/>
    <s v="completed"/>
  </r>
  <r>
    <n v="202400065"/>
    <x v="203"/>
    <n v="2024"/>
    <x v="3"/>
    <n v="7"/>
    <x v="38"/>
    <s v="Nora Rodriguez"/>
    <x v="3"/>
    <s v="Germany"/>
    <x v="0"/>
    <x v="8"/>
    <n v="7"/>
    <n v="1422.72"/>
    <n v="9959.0400000000009"/>
    <s v="Medium"/>
    <x v="2"/>
    <s v="cancelled"/>
  </r>
  <r>
    <n v="202400015"/>
    <x v="127"/>
    <n v="2024"/>
    <x v="1"/>
    <n v="5"/>
    <x v="7"/>
    <s v="Sophie Johnson"/>
    <x v="1"/>
    <s v="USA"/>
    <x v="2"/>
    <x v="11"/>
    <n v="3"/>
    <n v="1508.27"/>
    <n v="4524.8099999999995"/>
    <s v="Medium"/>
    <x v="2"/>
    <s v="completed"/>
  </r>
  <r>
    <n v="202401065"/>
    <x v="349"/>
    <n v="2024"/>
    <x v="3"/>
    <n v="7"/>
    <x v="48"/>
    <s v="Paul Leclerc"/>
    <x v="3"/>
    <s v="Australia"/>
    <x v="3"/>
    <x v="0"/>
    <n v="3"/>
    <n v="439.64"/>
    <n v="1318.92"/>
    <s v="Medium"/>
    <x v="2"/>
    <s v="cancelled"/>
  </r>
  <r>
    <n v="202400493"/>
    <x v="255"/>
    <n v="2024"/>
    <x v="2"/>
    <n v="3"/>
    <x v="73"/>
    <s v="Emma Dupont"/>
    <x v="1"/>
    <s v="USA"/>
    <x v="2"/>
    <x v="13"/>
    <n v="9"/>
    <n v="793.52"/>
    <n v="7141.68"/>
    <s v="Medium"/>
    <x v="1"/>
    <s v="completed"/>
  </r>
  <r>
    <n v="202400380"/>
    <x v="226"/>
    <n v="2024"/>
    <x v="2"/>
    <n v="3"/>
    <x v="72"/>
    <s v="Sophie Brown"/>
    <x v="1"/>
    <s v="Australia"/>
    <x v="3"/>
    <x v="10"/>
    <n v="5"/>
    <n v="1607.79"/>
    <n v="8038.95"/>
    <s v="Medium"/>
    <x v="1"/>
    <s v="cancelled"/>
  </r>
  <r>
    <n v="202400188"/>
    <x v="208"/>
    <n v="2024"/>
    <x v="2"/>
    <n v="3"/>
    <x v="26"/>
    <s v="Emma Leclerc"/>
    <x v="1"/>
    <s v="Canada"/>
    <x v="2"/>
    <x v="14"/>
    <n v="14"/>
    <n v="335.19"/>
    <n v="4692.66"/>
    <s v="Bulk"/>
    <x v="1"/>
    <s v="completed"/>
  </r>
  <r>
    <n v="202400764"/>
    <x v="145"/>
    <n v="2024"/>
    <x v="0"/>
    <n v="10"/>
    <x v="29"/>
    <s v="Nora Tanaka"/>
    <x v="3"/>
    <s v="Canada"/>
    <x v="2"/>
    <x v="5"/>
    <n v="9"/>
    <n v="1778.2"/>
    <n v="16003.800000000001"/>
    <s v="Medium"/>
    <x v="1"/>
    <s v="completed"/>
  </r>
  <r>
    <n v="202400217"/>
    <x v="204"/>
    <n v="2024"/>
    <x v="0"/>
    <n v="11"/>
    <x v="59"/>
    <s v="Anna Nilsson"/>
    <x v="1"/>
    <s v="Spain"/>
    <x v="0"/>
    <x v="7"/>
    <n v="4"/>
    <n v="542.04"/>
    <n v="2168.16"/>
    <s v="Medium"/>
    <x v="2"/>
    <s v="pending"/>
  </r>
  <r>
    <n v="202400792"/>
    <x v="188"/>
    <n v="2024"/>
    <x v="1"/>
    <n v="5"/>
    <x v="46"/>
    <s v="Marie Martin"/>
    <x v="3"/>
    <s v="Canada"/>
    <x v="2"/>
    <x v="7"/>
    <n v="4"/>
    <n v="1469.36"/>
    <n v="5877.44"/>
    <s v="Medium"/>
    <x v="2"/>
    <s v="completed"/>
  </r>
  <r>
    <n v="202401077"/>
    <x v="148"/>
    <n v="2024"/>
    <x v="1"/>
    <n v="6"/>
    <x v="15"/>
    <s v="Anna Muller"/>
    <x v="1"/>
    <s v="Germany"/>
    <x v="0"/>
    <x v="11"/>
    <n v="14"/>
    <n v="59.94"/>
    <n v="839.16"/>
    <s v="Bulk"/>
    <x v="2"/>
    <s v="completed"/>
  </r>
  <r>
    <n v="202400879"/>
    <x v="109"/>
    <n v="2024"/>
    <x v="0"/>
    <n v="11"/>
    <x v="2"/>
    <s v="John Wilson"/>
    <x v="0"/>
    <s v="Mexico"/>
    <x v="1"/>
    <x v="13"/>
    <n v="4"/>
    <n v="1033.6500000000001"/>
    <n v="4134.6000000000004"/>
    <s v="Medium"/>
    <x v="2"/>
    <s v="completed"/>
  </r>
  <r>
    <n v="202400338"/>
    <x v="296"/>
    <n v="2024"/>
    <x v="2"/>
    <n v="2"/>
    <x v="0"/>
    <s v="Sophie Brown"/>
    <x v="0"/>
    <s v="France"/>
    <x v="0"/>
    <x v="6"/>
    <n v="10"/>
    <n v="539.1"/>
    <n v="5391"/>
    <s v="Bulk"/>
    <x v="1"/>
    <s v="completed"/>
  </r>
  <r>
    <n v="202400720"/>
    <x v="96"/>
    <n v="2024"/>
    <x v="0"/>
    <n v="10"/>
    <x v="2"/>
    <s v="John Wilson"/>
    <x v="0"/>
    <s v="Mexico"/>
    <x v="1"/>
    <x v="1"/>
    <n v="7"/>
    <n v="1502.66"/>
    <n v="10518.62"/>
    <s v="Medium"/>
    <x v="2"/>
    <s v="completed"/>
  </r>
  <r>
    <n v="202400296"/>
    <x v="323"/>
    <n v="2024"/>
    <x v="0"/>
    <n v="10"/>
    <x v="43"/>
    <s v="James Garcia"/>
    <x v="2"/>
    <s v="Australia"/>
    <x v="3"/>
    <x v="8"/>
    <n v="11"/>
    <n v="1528.55"/>
    <n v="16814.05"/>
    <s v="Bulk"/>
    <x v="1"/>
    <s v="completed"/>
  </r>
  <r>
    <n v="202401017"/>
    <x v="157"/>
    <n v="2024"/>
    <x v="2"/>
    <n v="1"/>
    <x v="44"/>
    <s v="Lucas Muller"/>
    <x v="1"/>
    <s v="Netherlands"/>
    <x v="0"/>
    <x v="3"/>
    <n v="8"/>
    <n v="1415.75"/>
    <n v="11326"/>
    <s v="Medium"/>
    <x v="3"/>
    <s v="pending"/>
  </r>
  <r>
    <n v="202400456"/>
    <x v="331"/>
    <n v="2024"/>
    <x v="0"/>
    <n v="12"/>
    <x v="44"/>
    <s v="Lucas Muller"/>
    <x v="1"/>
    <s v="Netherlands"/>
    <x v="0"/>
    <x v="14"/>
    <n v="2"/>
    <n v="788.53"/>
    <n v="1577.06"/>
    <s v="Single"/>
    <x v="3"/>
    <s v="pending"/>
  </r>
  <r>
    <n v="202400816"/>
    <x v="27"/>
    <n v="2024"/>
    <x v="1"/>
    <n v="6"/>
    <x v="35"/>
    <s v="John Rodriguez"/>
    <x v="2"/>
    <s v="USA"/>
    <x v="2"/>
    <x v="10"/>
    <n v="3"/>
    <n v="1492.82"/>
    <n v="4478.46"/>
    <s v="Medium"/>
    <x v="1"/>
    <s v="completed"/>
  </r>
  <r>
    <n v="202400270"/>
    <x v="328"/>
    <n v="2024"/>
    <x v="1"/>
    <n v="4"/>
    <x v="72"/>
    <s v="Sophie Brown"/>
    <x v="1"/>
    <s v="Australia"/>
    <x v="3"/>
    <x v="14"/>
    <n v="12"/>
    <n v="462.24"/>
    <n v="5546.88"/>
    <s v="Bulk"/>
    <x v="1"/>
    <s v="completed"/>
  </r>
  <r>
    <n v="202400996"/>
    <x v="114"/>
    <n v="2024"/>
    <x v="3"/>
    <n v="7"/>
    <x v="65"/>
    <s v="Lucas Muller"/>
    <x v="1"/>
    <s v="Germany"/>
    <x v="0"/>
    <x v="8"/>
    <n v="4"/>
    <n v="1779.03"/>
    <n v="7116.12"/>
    <s v="Medium"/>
    <x v="3"/>
    <s v="completed"/>
  </r>
  <r>
    <n v="202400202"/>
    <x v="350"/>
    <n v="2024"/>
    <x v="1"/>
    <n v="5"/>
    <x v="12"/>
    <s v="Nora Tanaka"/>
    <x v="3"/>
    <s v="France"/>
    <x v="0"/>
    <x v="3"/>
    <n v="13"/>
    <n v="299.97000000000003"/>
    <n v="3899.6100000000006"/>
    <s v="Bulk"/>
    <x v="2"/>
    <s v="completed"/>
  </r>
  <r>
    <n v="202400162"/>
    <x v="43"/>
    <n v="2024"/>
    <x v="0"/>
    <n v="10"/>
    <x v="43"/>
    <s v="James Garcia"/>
    <x v="2"/>
    <s v="Australia"/>
    <x v="3"/>
    <x v="10"/>
    <n v="9"/>
    <n v="374.19"/>
    <n v="3367.71"/>
    <s v="Medium"/>
    <x v="1"/>
    <s v="completed"/>
  </r>
  <r>
    <n v="202400730"/>
    <x v="48"/>
    <n v="2024"/>
    <x v="3"/>
    <n v="8"/>
    <x v="19"/>
    <s v="John Smith"/>
    <x v="3"/>
    <s v="USA"/>
    <x v="2"/>
    <x v="13"/>
    <n v="9"/>
    <n v="1763.72"/>
    <n v="15873.48"/>
    <s v="Medium"/>
    <x v="2"/>
    <s v="completed"/>
  </r>
  <r>
    <n v="202400402"/>
    <x v="104"/>
    <n v="2024"/>
    <x v="0"/>
    <n v="11"/>
    <x v="7"/>
    <s v="Sophie Johnson"/>
    <x v="1"/>
    <s v="USA"/>
    <x v="2"/>
    <x v="7"/>
    <n v="5"/>
    <n v="66.72"/>
    <n v="333.6"/>
    <s v="Medium"/>
    <x v="1"/>
    <s v="completed"/>
  </r>
  <r>
    <n v="202400703"/>
    <x v="177"/>
    <n v="2024"/>
    <x v="3"/>
    <n v="7"/>
    <x v="34"/>
    <s v="Anna Garcia"/>
    <x v="0"/>
    <s v="Germany"/>
    <x v="0"/>
    <x v="5"/>
    <n v="6"/>
    <n v="1786.23"/>
    <n v="10717.380000000001"/>
    <s v="Medium"/>
    <x v="2"/>
    <s v="pending"/>
  </r>
  <r>
    <n v="202401130"/>
    <x v="187"/>
    <n v="2024"/>
    <x v="0"/>
    <n v="12"/>
    <x v="38"/>
    <s v="Nora Rodriguez"/>
    <x v="3"/>
    <s v="Germany"/>
    <x v="0"/>
    <x v="10"/>
    <n v="2"/>
    <n v="901.79"/>
    <n v="1803.58"/>
    <s v="Single"/>
    <x v="1"/>
    <s v="completed"/>
  </r>
  <r>
    <n v="202400566"/>
    <x v="201"/>
    <n v="2024"/>
    <x v="2"/>
    <n v="1"/>
    <x v="4"/>
    <s v="Maria Smith"/>
    <x v="1"/>
    <s v="Italy"/>
    <x v="0"/>
    <x v="5"/>
    <n v="1"/>
    <n v="318.27999999999997"/>
    <n v="318.27999999999997"/>
    <s v="Single"/>
    <x v="1"/>
    <s v="completed"/>
  </r>
  <r>
    <n v="202401026"/>
    <x v="102"/>
    <n v="2024"/>
    <x v="1"/>
    <n v="5"/>
    <x v="26"/>
    <s v="Emma Leclerc"/>
    <x v="1"/>
    <s v="Canada"/>
    <x v="2"/>
    <x v="8"/>
    <n v="9"/>
    <n v="295.8"/>
    <n v="2662.2000000000003"/>
    <s v="Medium"/>
    <x v="2"/>
    <s v="completed"/>
  </r>
  <r>
    <n v="202401105"/>
    <x v="134"/>
    <n v="2024"/>
    <x v="3"/>
    <n v="7"/>
    <x v="44"/>
    <s v="Lucas Muller"/>
    <x v="1"/>
    <s v="Netherlands"/>
    <x v="0"/>
    <x v="0"/>
    <n v="0"/>
    <n v="870.23"/>
    <n v="0"/>
    <s v="Single"/>
    <x v="1"/>
    <s v="cancelled"/>
  </r>
  <r>
    <n v="202400206"/>
    <x v="108"/>
    <n v="2024"/>
    <x v="0"/>
    <n v="11"/>
    <x v="51"/>
    <s v="David Rodriguez"/>
    <x v="1"/>
    <s v="Netherlands"/>
    <x v="0"/>
    <x v="8"/>
    <n v="8"/>
    <n v="1665.77"/>
    <n v="13326.16"/>
    <s v="Medium"/>
    <x v="2"/>
    <s v="pending"/>
  </r>
  <r>
    <n v="202400035"/>
    <x v="88"/>
    <n v="2024"/>
    <x v="2"/>
    <n v="3"/>
    <x v="5"/>
    <s v="James Nilsson"/>
    <x v="1"/>
    <s v="Italy"/>
    <x v="0"/>
    <x v="11"/>
    <n v="4"/>
    <n v="1131.3900000000001"/>
    <n v="4525.5600000000004"/>
    <s v="Medium"/>
    <x v="1"/>
    <s v="completed"/>
  </r>
  <r>
    <n v="202400776"/>
    <x v="284"/>
    <n v="2024"/>
    <x v="3"/>
    <n v="8"/>
    <x v="37"/>
    <s v="Pierre Smith"/>
    <x v="0"/>
    <s v="Australia"/>
    <x v="3"/>
    <x v="0"/>
    <n v="1"/>
    <n v="1998.42"/>
    <n v="1998.42"/>
    <s v="Single"/>
    <x v="1"/>
    <s v="completed"/>
  </r>
  <r>
    <n v="202400509"/>
    <x v="281"/>
    <n v="2024"/>
    <x v="0"/>
    <n v="12"/>
    <x v="25"/>
    <s v="Sophie Martin"/>
    <x v="3"/>
    <s v="Canada"/>
    <x v="2"/>
    <x v="9"/>
    <n v="1"/>
    <n v="1872.61"/>
    <n v="1872.61"/>
    <s v="Single"/>
    <x v="1"/>
    <s v="completed"/>
  </r>
  <r>
    <n v="202401196"/>
    <x v="157"/>
    <n v="2024"/>
    <x v="2"/>
    <n v="1"/>
    <x v="46"/>
    <s v="Marie Martin"/>
    <x v="3"/>
    <s v="Canada"/>
    <x v="2"/>
    <x v="0"/>
    <n v="12"/>
    <n v="1870.1"/>
    <n v="22441.199999999997"/>
    <s v="Bulk"/>
    <x v="2"/>
    <s v="pending"/>
  </r>
  <r>
    <n v="202400092"/>
    <x v="314"/>
    <n v="2024"/>
    <x v="1"/>
    <n v="4"/>
    <x v="72"/>
    <s v="Sophie Brown"/>
    <x v="1"/>
    <s v="Australia"/>
    <x v="3"/>
    <x v="0"/>
    <n v="1"/>
    <n v="1709.72"/>
    <n v="1709.72"/>
    <s v="Single"/>
    <x v="2"/>
    <s v="shipped"/>
  </r>
  <r>
    <n v="202400898"/>
    <x v="305"/>
    <n v="2024"/>
    <x v="3"/>
    <n v="9"/>
    <x v="46"/>
    <s v="Marie Martin"/>
    <x v="3"/>
    <s v="Canada"/>
    <x v="2"/>
    <x v="5"/>
    <n v="1"/>
    <n v="834.69"/>
    <n v="834.69"/>
    <s v="Single"/>
    <x v="3"/>
    <s v="completed"/>
  </r>
  <r>
    <n v="202400565"/>
    <x v="286"/>
    <n v="2024"/>
    <x v="3"/>
    <n v="7"/>
    <x v="53"/>
    <s v="Nora Muller"/>
    <x v="3"/>
    <s v="USA"/>
    <x v="2"/>
    <x v="11"/>
    <n v="9"/>
    <n v="305.48"/>
    <n v="2749.32"/>
    <s v="Medium"/>
    <x v="2"/>
    <s v="shipped"/>
  </r>
  <r>
    <n v="202400777"/>
    <x v="73"/>
    <n v="2024"/>
    <x v="2"/>
    <n v="1"/>
    <x v="47"/>
    <s v="Pierre Brown"/>
    <x v="0"/>
    <s v="Japan"/>
    <x v="3"/>
    <x v="7"/>
    <n v="3"/>
    <n v="317.44"/>
    <n v="952.31999999999994"/>
    <s v="Medium"/>
    <x v="1"/>
    <s v="pending"/>
  </r>
  <r>
    <n v="202400242"/>
    <x v="123"/>
    <n v="2024"/>
    <x v="0"/>
    <n v="12"/>
    <x v="14"/>
    <s v="Sophie Nilsson"/>
    <x v="2"/>
    <s v="Japan"/>
    <x v="3"/>
    <x v="8"/>
    <n v="1"/>
    <n v="666.81"/>
    <n v="666.81"/>
    <s v="Single"/>
    <x v="0"/>
    <s v="completed"/>
  </r>
  <r>
    <n v="202400014"/>
    <x v="86"/>
    <n v="2024"/>
    <x v="3"/>
    <n v="8"/>
    <x v="65"/>
    <s v="Lucas Muller"/>
    <x v="1"/>
    <s v="Germany"/>
    <x v="0"/>
    <x v="9"/>
    <n v="8"/>
    <n v="1350.4"/>
    <n v="10803.2"/>
    <s v="Medium"/>
    <x v="1"/>
    <s v="completed"/>
  </r>
  <r>
    <n v="202400316"/>
    <x v="256"/>
    <n v="2024"/>
    <x v="0"/>
    <n v="10"/>
    <x v="8"/>
    <s v="Julia Johnson"/>
    <x v="2"/>
    <s v="France"/>
    <x v="0"/>
    <x v="8"/>
    <n v="12"/>
    <n v="455.88"/>
    <n v="5470.5599999999995"/>
    <s v="Bulk"/>
    <x v="2"/>
    <s v="completed"/>
  </r>
  <r>
    <n v="202400601"/>
    <x v="300"/>
    <n v="2024"/>
    <x v="2"/>
    <n v="1"/>
    <x v="66"/>
    <s v="Sarah Leclerc"/>
    <x v="3"/>
    <s v="Germany"/>
    <x v="0"/>
    <x v="7"/>
    <n v="7"/>
    <n v="330.45"/>
    <n v="2313.15"/>
    <s v="Medium"/>
    <x v="0"/>
    <s v="shipped"/>
  </r>
  <r>
    <n v="202400388"/>
    <x v="224"/>
    <n v="2024"/>
    <x v="2"/>
    <n v="2"/>
    <x v="65"/>
    <s v="Lucas Muller"/>
    <x v="1"/>
    <s v="Germany"/>
    <x v="0"/>
    <x v="13"/>
    <n v="4"/>
    <n v="594.97"/>
    <n v="2379.88"/>
    <s v="Medium"/>
    <x v="2"/>
    <s v="pending"/>
  </r>
  <r>
    <n v="202400167"/>
    <x v="179"/>
    <n v="2024"/>
    <x v="2"/>
    <n v="2"/>
    <x v="46"/>
    <s v="Marie Martin"/>
    <x v="3"/>
    <s v="Canada"/>
    <x v="2"/>
    <x v="3"/>
    <n v="4"/>
    <n v="58.39"/>
    <n v="233.56"/>
    <s v="Medium"/>
    <x v="2"/>
    <s v="shipped"/>
  </r>
  <r>
    <n v="202400841"/>
    <x v="254"/>
    <n v="2024"/>
    <x v="2"/>
    <n v="1"/>
    <x v="13"/>
    <s v="Nora Brown"/>
    <x v="3"/>
    <s v="Italy"/>
    <x v="0"/>
    <x v="3"/>
    <n v="3"/>
    <n v="732.59"/>
    <n v="2197.77"/>
    <s v="Medium"/>
    <x v="1"/>
    <s v="pending "/>
  </r>
  <r>
    <n v="202400021"/>
    <x v="75"/>
    <n v="2024"/>
    <x v="2"/>
    <n v="1"/>
    <x v="44"/>
    <s v="Lucas Muller"/>
    <x v="1"/>
    <s v="Netherlands"/>
    <x v="0"/>
    <x v="10"/>
    <n v="4"/>
    <n v="472.4"/>
    <n v="1889.6"/>
    <s v="Medium"/>
    <x v="1"/>
    <s v="completed"/>
  </r>
  <r>
    <n v="202400647"/>
    <x v="40"/>
    <n v="2024"/>
    <x v="0"/>
    <n v="10"/>
    <x v="69"/>
    <s v="Pierre Rossi"/>
    <x v="3"/>
    <s v="Germany"/>
    <x v="0"/>
    <x v="10"/>
    <n v="14"/>
    <n v="133.71"/>
    <n v="1871.94"/>
    <s v="Bulk"/>
    <x v="0"/>
    <s v="refunded"/>
  </r>
  <r>
    <n v="202400563"/>
    <x v="279"/>
    <n v="2024"/>
    <x v="0"/>
    <n v="10"/>
    <x v="59"/>
    <s v="Anna Nilsson"/>
    <x v="1"/>
    <s v="Spain"/>
    <x v="0"/>
    <x v="13"/>
    <n v="7"/>
    <n v="1394.24"/>
    <n v="9759.68"/>
    <s v="Medium"/>
    <x v="2"/>
    <s v="cancelled"/>
  </r>
  <r>
    <n v="202401182"/>
    <x v="48"/>
    <n v="2024"/>
    <x v="3"/>
    <n v="8"/>
    <x v="36"/>
    <s v="Lisa Chen"/>
    <x v="0"/>
    <s v="France"/>
    <x v="0"/>
    <x v="5"/>
    <n v="4"/>
    <n v="1445.33"/>
    <n v="5781.32"/>
    <s v="Medium"/>
    <x v="2"/>
    <s v="completed"/>
  </r>
  <r>
    <n v="202400687"/>
    <x v="111"/>
    <n v="2024"/>
    <x v="1"/>
    <n v="4"/>
    <x v="73"/>
    <s v="Emma Dupont"/>
    <x v="1"/>
    <s v="USA"/>
    <x v="2"/>
    <x v="9"/>
    <n v="13"/>
    <n v="321.66000000000003"/>
    <n v="4181.58"/>
    <s v="Bulk"/>
    <x v="2"/>
    <s v="pending"/>
  </r>
  <r>
    <n v="202400958"/>
    <x v="328"/>
    <n v="2024"/>
    <x v="1"/>
    <n v="4"/>
    <x v="34"/>
    <s v="Anna Garcia"/>
    <x v="0"/>
    <s v="Germany"/>
    <x v="0"/>
    <x v="5"/>
    <n v="8"/>
    <n v="1887.39"/>
    <n v="15099.12"/>
    <s v="Medium"/>
    <x v="2"/>
    <s v="completed"/>
  </r>
  <r>
    <n v="202400190"/>
    <x v="92"/>
    <n v="2024"/>
    <x v="2"/>
    <n v="2"/>
    <x v="7"/>
    <s v="Sophie Johnson"/>
    <x v="1"/>
    <s v="USA"/>
    <x v="2"/>
    <x v="9"/>
    <n v="8"/>
    <n v="462.72"/>
    <n v="3701.76"/>
    <s v="Medium"/>
    <x v="1"/>
    <s v="completed"/>
  </r>
  <r>
    <n v="202400976"/>
    <x v="75"/>
    <n v="2024"/>
    <x v="2"/>
    <n v="1"/>
    <x v="40"/>
    <s v="John Rossi"/>
    <x v="0"/>
    <s v="Netherlands"/>
    <x v="0"/>
    <x v="10"/>
    <n v="2"/>
    <n v="789.91"/>
    <n v="1579.82"/>
    <s v="Single"/>
    <x v="2"/>
    <s v="pending"/>
  </r>
  <r>
    <n v="202400700"/>
    <x v="161"/>
    <n v="2024"/>
    <x v="0"/>
    <n v="11"/>
    <x v="36"/>
    <s v="Lisa Chen"/>
    <x v="0"/>
    <s v="France"/>
    <x v="0"/>
    <x v="6"/>
    <n v="14"/>
    <n v="1274.44"/>
    <n v="17842.16"/>
    <s v="Bulk"/>
    <x v="3"/>
    <s v="completed"/>
  </r>
  <r>
    <n v="202400511"/>
    <x v="42"/>
    <n v="2024"/>
    <x v="1"/>
    <n v="5"/>
    <x v="23"/>
    <s v="David Martin"/>
    <x v="2"/>
    <s v="Canada"/>
    <x v="2"/>
    <x v="7"/>
    <n v="4"/>
    <n v="244.27"/>
    <n v="977.08"/>
    <s v="Medium"/>
    <x v="1"/>
    <s v="completed"/>
  </r>
  <r>
    <n v="202401083"/>
    <x v="351"/>
    <n v="2024"/>
    <x v="2"/>
    <n v="2"/>
    <x v="31"/>
    <s v="Carlos Wilson"/>
    <x v="0"/>
    <s v="Australia"/>
    <x v="3"/>
    <x v="7"/>
    <n v="11"/>
    <n v="1473.69"/>
    <n v="16210.59"/>
    <s v="Bulk"/>
    <x v="1"/>
    <s v="pending"/>
  </r>
  <r>
    <n v="202400475"/>
    <x v="251"/>
    <n v="2024"/>
    <x v="0"/>
    <n v="12"/>
    <x v="1"/>
    <s v="Carlos Muller"/>
    <x v="1"/>
    <s v="Netherlands"/>
    <x v="0"/>
    <x v="6"/>
    <n v="7"/>
    <n v="278.57"/>
    <n v="1949.99"/>
    <s v="Medium"/>
    <x v="0"/>
    <s v="pending "/>
  </r>
  <r>
    <n v="202400857"/>
    <x v="351"/>
    <n v="2024"/>
    <x v="2"/>
    <n v="2"/>
    <x v="21"/>
    <s v="Anna Johnson"/>
    <x v="1"/>
    <s v="Australia"/>
    <x v="3"/>
    <x v="5"/>
    <n v="2"/>
    <n v="264.79000000000002"/>
    <n v="529.58000000000004"/>
    <s v="Single"/>
    <x v="2"/>
    <s v="completed"/>
  </r>
  <r>
    <n v="202400748"/>
    <x v="122"/>
    <n v="2024"/>
    <x v="1"/>
    <n v="6"/>
    <x v="40"/>
    <s v="John Rossi"/>
    <x v="0"/>
    <s v="Netherlands"/>
    <x v="0"/>
    <x v="12"/>
    <n v="5"/>
    <n v="1407.98"/>
    <n v="7039.9"/>
    <s v="Medium"/>
    <x v="1"/>
    <s v="completed"/>
  </r>
  <r>
    <n v="202400253"/>
    <x v="64"/>
    <n v="2024"/>
    <x v="1"/>
    <n v="6"/>
    <x v="10"/>
    <s v="John Garcia"/>
    <x v="3"/>
    <s v="Brazil"/>
    <x v="1"/>
    <x v="4"/>
    <n v="8"/>
    <n v="1295.67"/>
    <n v="10365.36"/>
    <s v="Medium"/>
    <x v="2"/>
    <s v="completed"/>
  </r>
  <r>
    <n v="202400022"/>
    <x v="96"/>
    <n v="2024"/>
    <x v="0"/>
    <n v="10"/>
    <x v="16"/>
    <s v="Sophie Tanaka"/>
    <x v="3"/>
    <s v="Australia"/>
    <x v="3"/>
    <x v="11"/>
    <n v="2"/>
    <n v="1124.97"/>
    <n v="2249.94"/>
    <s v="Single"/>
    <x v="2"/>
    <s v="completed"/>
  </r>
  <r>
    <n v="202400460"/>
    <x v="78"/>
    <n v="2024"/>
    <x v="0"/>
    <n v="12"/>
    <x v="4"/>
    <s v="Maria Smith"/>
    <x v="1"/>
    <s v="Italy"/>
    <x v="0"/>
    <x v="9"/>
    <n v="9"/>
    <n v="825.13"/>
    <n v="7426.17"/>
    <s v="Medium"/>
    <x v="2"/>
    <s v="completed"/>
  </r>
  <r>
    <n v="202401185"/>
    <x v="18"/>
    <n v="2024"/>
    <x v="2"/>
    <n v="3"/>
    <x v="27"/>
    <s v="Paul Rodriguez"/>
    <x v="2"/>
    <s v="Spain"/>
    <x v="0"/>
    <x v="0"/>
    <n v="9"/>
    <n v="1464.37"/>
    <n v="13179.329999999998"/>
    <s v="Medium"/>
    <x v="2"/>
    <s v="shipped"/>
  </r>
  <r>
    <n v="202400277"/>
    <x v="326"/>
    <n v="2024"/>
    <x v="2"/>
    <n v="2"/>
    <x v="51"/>
    <s v="David Rodriguez"/>
    <x v="1"/>
    <s v="Netherlands"/>
    <x v="0"/>
    <x v="3"/>
    <n v="6"/>
    <n v="1592.58"/>
    <n v="9555.48"/>
    <s v="Medium"/>
    <x v="3"/>
    <s v="completed"/>
  </r>
  <r>
    <n v="202400956"/>
    <x v="288"/>
    <n v="2024"/>
    <x v="1"/>
    <n v="4"/>
    <x v="70"/>
    <s v="David Smith"/>
    <x v="0"/>
    <s v="Canada"/>
    <x v="2"/>
    <x v="0"/>
    <n v="14"/>
    <n v="1409.13"/>
    <n v="19727.82"/>
    <s v="Bulk"/>
    <x v="0"/>
    <s v="shipped"/>
  </r>
  <r>
    <n v="202400386"/>
    <x v="152"/>
    <n v="2024"/>
    <x v="2"/>
    <n v="3"/>
    <x v="35"/>
    <s v="John Rodriguez"/>
    <x v="2"/>
    <s v="USA"/>
    <x v="2"/>
    <x v="12"/>
    <n v="7"/>
    <n v="507.44"/>
    <n v="3552.08"/>
    <s v="Medium"/>
    <x v="2"/>
    <s v="completed"/>
  </r>
  <r>
    <n v="202400806"/>
    <x v="40"/>
    <n v="2024"/>
    <x v="0"/>
    <n v="10"/>
    <x v="70"/>
    <s v="David Smith"/>
    <x v="0"/>
    <s v="Canada"/>
    <x v="2"/>
    <x v="1"/>
    <n v="8"/>
    <n v="1796.79"/>
    <n v="14374.32"/>
    <s v="Medium"/>
    <x v="2"/>
    <s v="cancelled"/>
  </r>
  <r>
    <n v="202400344"/>
    <x v="121"/>
    <n v="2024"/>
    <x v="1"/>
    <n v="6"/>
    <x v="63"/>
    <s v="Lucas Chen"/>
    <x v="1"/>
    <s v="Italy"/>
    <x v="0"/>
    <x v="7"/>
    <n v="9"/>
    <n v="464.09"/>
    <n v="4176.8099999999995"/>
    <s v="Medium"/>
    <x v="0"/>
    <s v="completed"/>
  </r>
  <r>
    <n v="202400770"/>
    <x v="352"/>
    <n v="2024"/>
    <x v="2"/>
    <n v="2"/>
    <x v="28"/>
    <s v="Julia Nilsson"/>
    <x v="3"/>
    <s v="Brazil"/>
    <x v="1"/>
    <x v="3"/>
    <n v="4"/>
    <n v="1177.93"/>
    <n v="4711.72"/>
    <s v="Medium"/>
    <x v="2"/>
    <s v="cancelled"/>
  </r>
  <r>
    <n v="202400131"/>
    <x v="110"/>
    <n v="2024"/>
    <x v="3"/>
    <n v="9"/>
    <x v="53"/>
    <s v="Nora Muller"/>
    <x v="3"/>
    <s v="USA"/>
    <x v="2"/>
    <x v="8"/>
    <n v="8"/>
    <n v="1544.58"/>
    <n v="12356.64"/>
    <s v="Medium"/>
    <x v="2"/>
    <s v="completed"/>
  </r>
  <r>
    <n v="202400872"/>
    <x v="159"/>
    <n v="2024"/>
    <x v="0"/>
    <n v="11"/>
    <x v="50"/>
    <s v="Marie Chen"/>
    <x v="3"/>
    <s v="France"/>
    <x v="0"/>
    <x v="8"/>
    <n v="8"/>
    <n v="482.07"/>
    <n v="3856.56"/>
    <s v="Medium"/>
    <x v="1"/>
    <s v="pending "/>
  </r>
  <r>
    <n v="202401124"/>
    <x v="319"/>
    <n v="2024"/>
    <x v="0"/>
    <n v="11"/>
    <x v="64"/>
    <s v="Maria Wilson"/>
    <x v="2"/>
    <s v="Germany"/>
    <x v="0"/>
    <x v="2"/>
    <n v="10"/>
    <n v="1988.99"/>
    <n v="19889.900000000001"/>
    <s v="Bulk"/>
    <x v="3"/>
    <s v="shipped"/>
  </r>
  <r>
    <n v="202400088"/>
    <x v="291"/>
    <n v="2024"/>
    <x v="2"/>
    <n v="1"/>
    <x v="10"/>
    <s v="John Garcia"/>
    <x v="3"/>
    <s v="Brazil"/>
    <x v="1"/>
    <x v="13"/>
    <n v="7"/>
    <n v="1776.62"/>
    <n v="12436.34"/>
    <s v="Medium"/>
    <x v="3"/>
    <s v="completed"/>
  </r>
  <r>
    <n v="202400331"/>
    <x v="81"/>
    <n v="2024"/>
    <x v="1"/>
    <n v="4"/>
    <x v="72"/>
    <s v="Sophie Brown"/>
    <x v="1"/>
    <s v="Australia"/>
    <x v="3"/>
    <x v="12"/>
    <n v="7"/>
    <n v="749.39"/>
    <n v="5245.73"/>
    <s v="Medium"/>
    <x v="0"/>
    <s v="completed"/>
  </r>
  <r>
    <n v="202400467"/>
    <x v="90"/>
    <n v="2024"/>
    <x v="0"/>
    <n v="10"/>
    <x v="76"/>
    <s v="Sophie Brown"/>
    <x v="1"/>
    <s v="USA"/>
    <x v="2"/>
    <x v="5"/>
    <n v="14"/>
    <n v="1351.84"/>
    <n v="18925.759999999998"/>
    <s v="Bulk"/>
    <x v="2"/>
    <s v="pending"/>
  </r>
  <r>
    <n v="202400122"/>
    <x v="147"/>
    <n v="2024"/>
    <x v="2"/>
    <n v="2"/>
    <x v="19"/>
    <s v="John Smith"/>
    <x v="3"/>
    <s v="USA"/>
    <x v="2"/>
    <x v="14"/>
    <n v="1"/>
    <n v="1139.6500000000001"/>
    <n v="1139.6500000000001"/>
    <s v="Single"/>
    <x v="2"/>
    <s v="completed"/>
  </r>
  <r>
    <n v="202401045"/>
    <x v="83"/>
    <n v="2024"/>
    <x v="2"/>
    <n v="2"/>
    <x v="61"/>
    <s v="Anna Dupont"/>
    <x v="0"/>
    <s v="Brazil"/>
    <x v="1"/>
    <x v="7"/>
    <n v="9"/>
    <n v="1169.42"/>
    <n v="10524.78"/>
    <s v="Medium"/>
    <x v="1"/>
    <s v="cancelled"/>
  </r>
  <r>
    <n v="202401096"/>
    <x v="85"/>
    <n v="2024"/>
    <x v="0"/>
    <n v="11"/>
    <x v="52"/>
    <s v="Emma Garcia"/>
    <x v="2"/>
    <s v="Mexico"/>
    <x v="1"/>
    <x v="14"/>
    <n v="10"/>
    <n v="1686.7"/>
    <n v="16867"/>
    <s v="Bulk"/>
    <x v="2"/>
    <s v="cancelled"/>
  </r>
  <r>
    <n v="202401131"/>
    <x v="72"/>
    <n v="2024"/>
    <x v="3"/>
    <n v="8"/>
    <x v="3"/>
    <s v="Carlos Tanaka"/>
    <x v="2"/>
    <s v="Italy"/>
    <x v="0"/>
    <x v="1"/>
    <n v="11"/>
    <n v="407.62"/>
    <n v="4483.82"/>
    <s v="Bulk"/>
    <x v="2"/>
    <s v="completed"/>
  </r>
  <r>
    <n v="202400861"/>
    <x v="342"/>
    <n v="2024"/>
    <x v="2"/>
    <n v="1"/>
    <x v="53"/>
    <s v="Nora Muller"/>
    <x v="3"/>
    <s v="USA"/>
    <x v="2"/>
    <x v="1"/>
    <n v="2"/>
    <n v="1758.16"/>
    <n v="3516.32"/>
    <s v="Single"/>
    <x v="2"/>
    <s v="refunded"/>
  </r>
  <r>
    <n v="202401127"/>
    <x v="7"/>
    <n v="2024"/>
    <x v="0"/>
    <n v="12"/>
    <x v="5"/>
    <s v="James Nilsson"/>
    <x v="1"/>
    <s v="Italy"/>
    <x v="0"/>
    <x v="12"/>
    <n v="9"/>
    <n v="778.73"/>
    <n v="7008.57"/>
    <s v="Medium"/>
    <x v="2"/>
    <s v="refund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6305E2-2B3B-4831-A651-B774A8B52B7E}" name="PivotTable1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9:R22" firstHeaderRow="1" firstDataRow="3" firstDataCol="1"/>
  <pivotFields count="19">
    <pivotField showAll="0"/>
    <pivotField numFmtId="14" showAll="0">
      <items count="354">
        <item x="215"/>
        <item x="31"/>
        <item x="300"/>
        <item x="89"/>
        <item x="140"/>
        <item x="196"/>
        <item x="342"/>
        <item x="169"/>
        <item x="73"/>
        <item x="221"/>
        <item x="150"/>
        <item x="254"/>
        <item x="75"/>
        <item x="113"/>
        <item x="307"/>
        <item x="248"/>
        <item x="309"/>
        <item x="3"/>
        <item x="154"/>
        <item x="135"/>
        <item x="35"/>
        <item x="70"/>
        <item x="195"/>
        <item x="201"/>
        <item x="139"/>
        <item x="291"/>
        <item x="157"/>
        <item x="9"/>
        <item x="24"/>
        <item x="229"/>
        <item x="282"/>
        <item x="170"/>
        <item x="61"/>
        <item x="107"/>
        <item x="347"/>
        <item x="49"/>
        <item x="77"/>
        <item x="200"/>
        <item x="83"/>
        <item x="351"/>
        <item x="220"/>
        <item x="46"/>
        <item x="92"/>
        <item x="165"/>
        <item x="249"/>
        <item x="179"/>
        <item x="11"/>
        <item x="147"/>
        <item x="253"/>
        <item x="296"/>
        <item x="115"/>
        <item x="250"/>
        <item x="52"/>
        <item x="352"/>
        <item x="53"/>
        <item x="326"/>
        <item x="224"/>
        <item x="180"/>
        <item x="289"/>
        <item x="210"/>
        <item x="218"/>
        <item x="172"/>
        <item x="255"/>
        <item x="38"/>
        <item x="186"/>
        <item x="118"/>
        <item x="338"/>
        <item x="213"/>
        <item x="343"/>
        <item x="302"/>
        <item x="318"/>
        <item x="152"/>
        <item x="264"/>
        <item x="88"/>
        <item x="166"/>
        <item x="327"/>
        <item x="18"/>
        <item x="95"/>
        <item x="20"/>
        <item x="171"/>
        <item x="55"/>
        <item x="192"/>
        <item x="267"/>
        <item x="208"/>
        <item x="235"/>
        <item x="226"/>
        <item x="8"/>
        <item x="81"/>
        <item x="158"/>
        <item x="335"/>
        <item x="292"/>
        <item x="126"/>
        <item x="120"/>
        <item x="244"/>
        <item x="312"/>
        <item x="288"/>
        <item x="232"/>
        <item x="93"/>
        <item x="67"/>
        <item x="111"/>
        <item x="62"/>
        <item x="22"/>
        <item x="59"/>
        <item x="146"/>
        <item x="191"/>
        <item x="45"/>
        <item x="211"/>
        <item x="206"/>
        <item x="314"/>
        <item x="97"/>
        <item x="129"/>
        <item x="60"/>
        <item x="294"/>
        <item x="275"/>
        <item x="317"/>
        <item x="328"/>
        <item x="242"/>
        <item x="91"/>
        <item x="261"/>
        <item x="350"/>
        <item x="337"/>
        <item x="278"/>
        <item x="47"/>
        <item x="265"/>
        <item x="28"/>
        <item x="259"/>
        <item x="132"/>
        <item x="39"/>
        <item x="234"/>
        <item x="194"/>
        <item x="293"/>
        <item x="188"/>
        <item x="42"/>
        <item x="153"/>
        <item x="133"/>
        <item x="270"/>
        <item x="44"/>
        <item x="137"/>
        <item x="116"/>
        <item x="17"/>
        <item x="175"/>
        <item x="313"/>
        <item x="162"/>
        <item x="102"/>
        <item x="127"/>
        <item x="2"/>
        <item x="74"/>
        <item x="241"/>
        <item x="190"/>
        <item x="239"/>
        <item x="199"/>
        <item x="198"/>
        <item x="32"/>
        <item x="13"/>
        <item x="285"/>
        <item x="329"/>
        <item x="262"/>
        <item x="25"/>
        <item x="252"/>
        <item x="64"/>
        <item x="163"/>
        <item x="50"/>
        <item x="144"/>
        <item x="348"/>
        <item x="98"/>
        <item x="148"/>
        <item x="303"/>
        <item x="27"/>
        <item x="122"/>
        <item x="280"/>
        <item x="138"/>
        <item x="299"/>
        <item x="266"/>
        <item x="121"/>
        <item x="336"/>
        <item x="82"/>
        <item x="345"/>
        <item x="217"/>
        <item x="286"/>
        <item x="134"/>
        <item x="26"/>
        <item x="219"/>
        <item x="349"/>
        <item x="181"/>
        <item x="36"/>
        <item x="310"/>
        <item x="65"/>
        <item x="202"/>
        <item x="117"/>
        <item x="16"/>
        <item x="340"/>
        <item x="177"/>
        <item x="176"/>
        <item x="103"/>
        <item x="168"/>
        <item x="203"/>
        <item x="131"/>
        <item x="334"/>
        <item x="237"/>
        <item x="69"/>
        <item x="119"/>
        <item x="332"/>
        <item x="114"/>
        <item x="231"/>
        <item x="87"/>
        <item x="321"/>
        <item x="94"/>
        <item x="205"/>
        <item x="48"/>
        <item x="4"/>
        <item x="308"/>
        <item x="63"/>
        <item x="185"/>
        <item x="214"/>
        <item x="238"/>
        <item x="66"/>
        <item x="227"/>
        <item x="173"/>
        <item x="222"/>
        <item x="72"/>
        <item x="56"/>
        <item x="57"/>
        <item x="21"/>
        <item x="86"/>
        <item x="30"/>
        <item x="100"/>
        <item x="164"/>
        <item x="151"/>
        <item x="316"/>
        <item x="243"/>
        <item x="101"/>
        <item x="284"/>
        <item x="33"/>
        <item x="141"/>
        <item x="51"/>
        <item x="23"/>
        <item x="272"/>
        <item x="80"/>
        <item x="184"/>
        <item x="228"/>
        <item x="34"/>
        <item x="225"/>
        <item x="79"/>
        <item x="58"/>
        <item x="324"/>
        <item x="54"/>
        <item x="305"/>
        <item x="37"/>
        <item x="346"/>
        <item x="344"/>
        <item x="14"/>
        <item x="183"/>
        <item x="298"/>
        <item x="110"/>
        <item x="245"/>
        <item x="325"/>
        <item x="287"/>
        <item x="193"/>
        <item x="189"/>
        <item x="156"/>
        <item x="197"/>
        <item x="6"/>
        <item x="68"/>
        <item x="297"/>
        <item x="76"/>
        <item x="155"/>
        <item x="240"/>
        <item x="230"/>
        <item x="333"/>
        <item x="29"/>
        <item x="99"/>
        <item x="174"/>
        <item x="330"/>
        <item x="40"/>
        <item x="276"/>
        <item x="5"/>
        <item x="279"/>
        <item x="130"/>
        <item x="256"/>
        <item x="12"/>
        <item x="311"/>
        <item x="322"/>
        <item x="1"/>
        <item x="178"/>
        <item x="90"/>
        <item x="263"/>
        <item x="136"/>
        <item x="323"/>
        <item x="304"/>
        <item x="96"/>
        <item x="167"/>
        <item x="145"/>
        <item x="290"/>
        <item x="257"/>
        <item x="43"/>
        <item x="204"/>
        <item x="84"/>
        <item x="108"/>
        <item x="273"/>
        <item x="247"/>
        <item x="209"/>
        <item x="274"/>
        <item x="10"/>
        <item x="161"/>
        <item x="320"/>
        <item x="104"/>
        <item x="246"/>
        <item x="109"/>
        <item x="277"/>
        <item x="236"/>
        <item x="319"/>
        <item x="301"/>
        <item x="85"/>
        <item x="112"/>
        <item x="15"/>
        <item x="71"/>
        <item x="269"/>
        <item x="271"/>
        <item x="143"/>
        <item x="106"/>
        <item x="268"/>
        <item x="159"/>
        <item x="0"/>
        <item x="339"/>
        <item x="123"/>
        <item x="315"/>
        <item x="207"/>
        <item x="41"/>
        <item x="216"/>
        <item x="295"/>
        <item x="182"/>
        <item x="187"/>
        <item x="233"/>
        <item x="78"/>
        <item x="124"/>
        <item x="223"/>
        <item x="149"/>
        <item x="125"/>
        <item x="260"/>
        <item x="142"/>
        <item x="331"/>
        <item x="160"/>
        <item x="128"/>
        <item x="19"/>
        <item x="306"/>
        <item x="105"/>
        <item x="212"/>
        <item x="283"/>
        <item x="281"/>
        <item x="251"/>
        <item x="341"/>
        <item x="258"/>
        <item x="7"/>
        <item t="default"/>
      </items>
    </pivotField>
    <pivotField showAll="0"/>
    <pivotField axis="axisCol" showAll="0">
      <items count="5">
        <item h="1" x="2"/>
        <item x="1"/>
        <item h="1" x="3"/>
        <item h="1" x="0"/>
        <item t="default"/>
      </items>
    </pivotField>
    <pivotField showAll="0"/>
    <pivotField showAll="0"/>
    <pivotField showAll="0"/>
    <pivotField showAll="0">
      <items count="7">
        <item x="1"/>
        <item m="1" x="5"/>
        <item m="1" x="4"/>
        <item x="2"/>
        <item x="0"/>
        <item x="3"/>
        <item t="default"/>
      </items>
    </pivotField>
    <pivotField showAll="0"/>
    <pivotField showAll="0">
      <items count="5">
        <item x="3"/>
        <item x="0"/>
        <item x="1"/>
        <item x="2"/>
        <item t="default"/>
      </items>
    </pivotField>
    <pivotField axis="axisRow" showAll="0" measureFilter="1" sortType="descending">
      <items count="16">
        <item x="14"/>
        <item x="2"/>
        <item x="1"/>
        <item x="9"/>
        <item x="5"/>
        <item x="10"/>
        <item x="4"/>
        <item x="13"/>
        <item x="6"/>
        <item x="11"/>
        <item x="3"/>
        <item x="0"/>
        <item x="7"/>
        <item x="12"/>
        <item x="8"/>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showAll="0"/>
    <pivotField showAll="0">
      <items count="5">
        <item x="1"/>
        <item x="3"/>
        <item x="0"/>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11">
    <i>
      <x v="7"/>
    </i>
    <i>
      <x v="10"/>
    </i>
    <i>
      <x v="13"/>
    </i>
    <i>
      <x v="1"/>
    </i>
    <i>
      <x v="8"/>
    </i>
    <i>
      <x v="4"/>
    </i>
    <i>
      <x v="11"/>
    </i>
    <i>
      <x v="2"/>
    </i>
    <i>
      <x v="14"/>
    </i>
    <i>
      <x v="5"/>
    </i>
    <i t="grand">
      <x/>
    </i>
  </rowItems>
  <colFields count="2">
    <field x="3"/>
    <field x="-2"/>
  </colFields>
  <colItems count="4">
    <i>
      <x v="1"/>
      <x/>
    </i>
    <i r="1" i="1">
      <x v="1"/>
    </i>
    <i t="grand">
      <x/>
    </i>
    <i t="grand" i="1">
      <x/>
    </i>
  </colItems>
  <dataFields count="2">
    <dataField name="Sum of LineRevenue" fld="13" baseField="0" baseItem="0"/>
    <dataField name="Sum of Quantity" fld="11" baseField="0" baseItem="0"/>
  </dataField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CB095C-A9FE-40B0-A0E5-FEF60F350E54}" name="PivotTable1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L22" firstHeaderRow="1" firstDataRow="3" firstDataCol="1"/>
  <pivotFields count="19">
    <pivotField showAll="0"/>
    <pivotField numFmtId="14" showAll="0">
      <items count="354">
        <item x="215"/>
        <item x="31"/>
        <item x="300"/>
        <item x="89"/>
        <item x="140"/>
        <item x="196"/>
        <item x="342"/>
        <item x="169"/>
        <item x="73"/>
        <item x="221"/>
        <item x="150"/>
        <item x="254"/>
        <item x="75"/>
        <item x="113"/>
        <item x="307"/>
        <item x="248"/>
        <item x="309"/>
        <item x="3"/>
        <item x="154"/>
        <item x="135"/>
        <item x="35"/>
        <item x="70"/>
        <item x="195"/>
        <item x="201"/>
        <item x="139"/>
        <item x="291"/>
        <item x="157"/>
        <item x="9"/>
        <item x="24"/>
        <item x="229"/>
        <item x="282"/>
        <item x="170"/>
        <item x="61"/>
        <item x="107"/>
        <item x="347"/>
        <item x="49"/>
        <item x="77"/>
        <item x="200"/>
        <item x="83"/>
        <item x="351"/>
        <item x="220"/>
        <item x="46"/>
        <item x="92"/>
        <item x="165"/>
        <item x="249"/>
        <item x="179"/>
        <item x="11"/>
        <item x="147"/>
        <item x="253"/>
        <item x="296"/>
        <item x="115"/>
        <item x="250"/>
        <item x="52"/>
        <item x="352"/>
        <item x="53"/>
        <item x="326"/>
        <item x="224"/>
        <item x="180"/>
        <item x="289"/>
        <item x="210"/>
        <item x="218"/>
        <item x="172"/>
        <item x="255"/>
        <item x="38"/>
        <item x="186"/>
        <item x="118"/>
        <item x="338"/>
        <item x="213"/>
        <item x="343"/>
        <item x="302"/>
        <item x="318"/>
        <item x="152"/>
        <item x="264"/>
        <item x="88"/>
        <item x="166"/>
        <item x="327"/>
        <item x="18"/>
        <item x="95"/>
        <item x="20"/>
        <item x="171"/>
        <item x="55"/>
        <item x="192"/>
        <item x="267"/>
        <item x="208"/>
        <item x="235"/>
        <item x="226"/>
        <item x="8"/>
        <item x="81"/>
        <item x="158"/>
        <item x="335"/>
        <item x="292"/>
        <item x="126"/>
        <item x="120"/>
        <item x="244"/>
        <item x="312"/>
        <item x="288"/>
        <item x="232"/>
        <item x="93"/>
        <item x="67"/>
        <item x="111"/>
        <item x="62"/>
        <item x="22"/>
        <item x="59"/>
        <item x="146"/>
        <item x="191"/>
        <item x="45"/>
        <item x="211"/>
        <item x="206"/>
        <item x="314"/>
        <item x="97"/>
        <item x="129"/>
        <item x="60"/>
        <item x="294"/>
        <item x="275"/>
        <item x="317"/>
        <item x="328"/>
        <item x="242"/>
        <item x="91"/>
        <item x="261"/>
        <item x="350"/>
        <item x="337"/>
        <item x="278"/>
        <item x="47"/>
        <item x="265"/>
        <item x="28"/>
        <item x="259"/>
        <item x="132"/>
        <item x="39"/>
        <item x="234"/>
        <item x="194"/>
        <item x="293"/>
        <item x="188"/>
        <item x="42"/>
        <item x="153"/>
        <item x="133"/>
        <item x="270"/>
        <item x="44"/>
        <item x="137"/>
        <item x="116"/>
        <item x="17"/>
        <item x="175"/>
        <item x="313"/>
        <item x="162"/>
        <item x="102"/>
        <item x="127"/>
        <item x="2"/>
        <item x="74"/>
        <item x="241"/>
        <item x="190"/>
        <item x="239"/>
        <item x="199"/>
        <item x="198"/>
        <item x="32"/>
        <item x="13"/>
        <item x="285"/>
        <item x="329"/>
        <item x="262"/>
        <item x="25"/>
        <item x="252"/>
        <item x="64"/>
        <item x="163"/>
        <item x="50"/>
        <item x="144"/>
        <item x="348"/>
        <item x="98"/>
        <item x="148"/>
        <item x="303"/>
        <item x="27"/>
        <item x="122"/>
        <item x="280"/>
        <item x="138"/>
        <item x="299"/>
        <item x="266"/>
        <item x="121"/>
        <item x="336"/>
        <item x="82"/>
        <item x="345"/>
        <item x="217"/>
        <item x="286"/>
        <item x="134"/>
        <item x="26"/>
        <item x="219"/>
        <item x="349"/>
        <item x="181"/>
        <item x="36"/>
        <item x="310"/>
        <item x="65"/>
        <item x="202"/>
        <item x="117"/>
        <item x="16"/>
        <item x="340"/>
        <item x="177"/>
        <item x="176"/>
        <item x="103"/>
        <item x="168"/>
        <item x="203"/>
        <item x="131"/>
        <item x="334"/>
        <item x="237"/>
        <item x="69"/>
        <item x="119"/>
        <item x="332"/>
        <item x="114"/>
        <item x="231"/>
        <item x="87"/>
        <item x="321"/>
        <item x="94"/>
        <item x="205"/>
        <item x="48"/>
        <item x="4"/>
        <item x="308"/>
        <item x="63"/>
        <item x="185"/>
        <item x="214"/>
        <item x="238"/>
        <item x="66"/>
        <item x="227"/>
        <item x="173"/>
        <item x="222"/>
        <item x="72"/>
        <item x="56"/>
        <item x="57"/>
        <item x="21"/>
        <item x="86"/>
        <item x="30"/>
        <item x="100"/>
        <item x="164"/>
        <item x="151"/>
        <item x="316"/>
        <item x="243"/>
        <item x="101"/>
        <item x="284"/>
        <item x="33"/>
        <item x="141"/>
        <item x="51"/>
        <item x="23"/>
        <item x="272"/>
        <item x="80"/>
        <item x="184"/>
        <item x="228"/>
        <item x="34"/>
        <item x="225"/>
        <item x="79"/>
        <item x="58"/>
        <item x="324"/>
        <item x="54"/>
        <item x="305"/>
        <item x="37"/>
        <item x="346"/>
        <item x="344"/>
        <item x="14"/>
        <item x="183"/>
        <item x="298"/>
        <item x="110"/>
        <item x="245"/>
        <item x="325"/>
        <item x="287"/>
        <item x="193"/>
        <item x="189"/>
        <item x="156"/>
        <item x="197"/>
        <item x="6"/>
        <item x="68"/>
        <item x="297"/>
        <item x="76"/>
        <item x="155"/>
        <item x="240"/>
        <item x="230"/>
        <item x="333"/>
        <item x="29"/>
        <item x="99"/>
        <item x="174"/>
        <item x="330"/>
        <item x="40"/>
        <item x="276"/>
        <item x="5"/>
        <item x="279"/>
        <item x="130"/>
        <item x="256"/>
        <item x="12"/>
        <item x="311"/>
        <item x="322"/>
        <item x="1"/>
        <item x="178"/>
        <item x="90"/>
        <item x="263"/>
        <item x="136"/>
        <item x="323"/>
        <item x="304"/>
        <item x="96"/>
        <item x="167"/>
        <item x="145"/>
        <item x="290"/>
        <item x="257"/>
        <item x="43"/>
        <item x="204"/>
        <item x="84"/>
        <item x="108"/>
        <item x="273"/>
        <item x="247"/>
        <item x="209"/>
        <item x="274"/>
        <item x="10"/>
        <item x="161"/>
        <item x="320"/>
        <item x="104"/>
        <item x="246"/>
        <item x="109"/>
        <item x="277"/>
        <item x="236"/>
        <item x="319"/>
        <item x="301"/>
        <item x="85"/>
        <item x="112"/>
        <item x="15"/>
        <item x="71"/>
        <item x="269"/>
        <item x="271"/>
        <item x="143"/>
        <item x="106"/>
        <item x="268"/>
        <item x="159"/>
        <item x="0"/>
        <item x="339"/>
        <item x="123"/>
        <item x="315"/>
        <item x="207"/>
        <item x="41"/>
        <item x="216"/>
        <item x="295"/>
        <item x="182"/>
        <item x="187"/>
        <item x="233"/>
        <item x="78"/>
        <item x="124"/>
        <item x="223"/>
        <item x="149"/>
        <item x="125"/>
        <item x="260"/>
        <item x="142"/>
        <item x="331"/>
        <item x="160"/>
        <item x="128"/>
        <item x="19"/>
        <item x="306"/>
        <item x="105"/>
        <item x="212"/>
        <item x="283"/>
        <item x="281"/>
        <item x="251"/>
        <item x="341"/>
        <item x="258"/>
        <item x="7"/>
        <item t="default"/>
      </items>
    </pivotField>
    <pivotField showAll="0"/>
    <pivotField axis="axisCol" showAll="0">
      <items count="5">
        <item x="2"/>
        <item h="1" x="1"/>
        <item h="1" x="3"/>
        <item h="1" x="0"/>
        <item t="default"/>
      </items>
    </pivotField>
    <pivotField showAll="0"/>
    <pivotField showAll="0"/>
    <pivotField showAll="0"/>
    <pivotField showAll="0">
      <items count="7">
        <item x="1"/>
        <item m="1" x="5"/>
        <item m="1" x="4"/>
        <item x="2"/>
        <item x="0"/>
        <item x="3"/>
        <item t="default"/>
      </items>
    </pivotField>
    <pivotField showAll="0"/>
    <pivotField showAll="0">
      <items count="5">
        <item x="3"/>
        <item x="0"/>
        <item x="1"/>
        <item x="2"/>
        <item t="default"/>
      </items>
    </pivotField>
    <pivotField axis="axisRow" showAll="0" measureFilter="1" sortType="descending">
      <items count="16">
        <item x="14"/>
        <item x="2"/>
        <item x="1"/>
        <item x="9"/>
        <item x="5"/>
        <item x="10"/>
        <item x="4"/>
        <item x="13"/>
        <item x="6"/>
        <item x="11"/>
        <item x="3"/>
        <item x="0"/>
        <item x="7"/>
        <item x="12"/>
        <item x="8"/>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showAll="0"/>
    <pivotField showAll="0">
      <items count="5">
        <item x="1"/>
        <item x="3"/>
        <item x="0"/>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11">
    <i>
      <x/>
    </i>
    <i>
      <x v="12"/>
    </i>
    <i>
      <x v="10"/>
    </i>
    <i>
      <x v="14"/>
    </i>
    <i>
      <x v="11"/>
    </i>
    <i>
      <x v="3"/>
    </i>
    <i>
      <x v="8"/>
    </i>
    <i>
      <x v="6"/>
    </i>
    <i>
      <x v="5"/>
    </i>
    <i>
      <x v="1"/>
    </i>
    <i t="grand">
      <x/>
    </i>
  </rowItems>
  <colFields count="2">
    <field x="3"/>
    <field x="-2"/>
  </colFields>
  <colItems count="4">
    <i>
      <x/>
      <x/>
    </i>
    <i r="1" i="1">
      <x v="1"/>
    </i>
    <i t="grand">
      <x/>
    </i>
    <i t="grand" i="1">
      <x/>
    </i>
  </colItems>
  <dataFields count="2">
    <dataField name="Sum of LineRevenue" fld="13" baseField="0" baseItem="0"/>
    <dataField name="Sum of Quantity" fld="11" baseField="10" baseItem="0"/>
  </dataField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605C4-4427-4100-9096-191C851D022D}"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C20" firstHeaderRow="0" firstDataRow="1" firstDataCol="1"/>
  <pivotFields count="19">
    <pivotField showAll="0"/>
    <pivotField numFmtId="14" showAll="0">
      <items count="354">
        <item x="215"/>
        <item x="31"/>
        <item x="300"/>
        <item x="89"/>
        <item x="140"/>
        <item x="196"/>
        <item x="342"/>
        <item x="169"/>
        <item x="73"/>
        <item x="221"/>
        <item x="150"/>
        <item x="254"/>
        <item x="75"/>
        <item x="113"/>
        <item x="307"/>
        <item x="248"/>
        <item x="309"/>
        <item x="3"/>
        <item x="154"/>
        <item x="135"/>
        <item x="35"/>
        <item x="70"/>
        <item x="195"/>
        <item x="201"/>
        <item x="139"/>
        <item x="291"/>
        <item x="157"/>
        <item x="9"/>
        <item x="24"/>
        <item x="229"/>
        <item x="282"/>
        <item x="170"/>
        <item x="61"/>
        <item x="107"/>
        <item x="347"/>
        <item x="49"/>
        <item x="77"/>
        <item x="200"/>
        <item x="83"/>
        <item x="351"/>
        <item x="220"/>
        <item x="46"/>
        <item x="92"/>
        <item x="165"/>
        <item x="249"/>
        <item x="179"/>
        <item x="11"/>
        <item x="147"/>
        <item x="253"/>
        <item x="296"/>
        <item x="115"/>
        <item x="250"/>
        <item x="52"/>
        <item x="352"/>
        <item x="53"/>
        <item x="326"/>
        <item x="224"/>
        <item x="180"/>
        <item x="289"/>
        <item x="210"/>
        <item x="218"/>
        <item x="172"/>
        <item x="255"/>
        <item x="38"/>
        <item x="186"/>
        <item x="118"/>
        <item x="338"/>
        <item x="213"/>
        <item x="343"/>
        <item x="302"/>
        <item x="318"/>
        <item x="152"/>
        <item x="264"/>
        <item x="88"/>
        <item x="166"/>
        <item x="327"/>
        <item x="18"/>
        <item x="95"/>
        <item x="20"/>
        <item x="171"/>
        <item x="55"/>
        <item x="192"/>
        <item x="267"/>
        <item x="208"/>
        <item x="235"/>
        <item x="226"/>
        <item x="8"/>
        <item x="81"/>
        <item x="158"/>
        <item x="335"/>
        <item x="292"/>
        <item x="126"/>
        <item x="120"/>
        <item x="244"/>
        <item x="312"/>
        <item x="288"/>
        <item x="232"/>
        <item x="93"/>
        <item x="67"/>
        <item x="111"/>
        <item x="62"/>
        <item x="22"/>
        <item x="59"/>
        <item x="146"/>
        <item x="191"/>
        <item x="45"/>
        <item x="211"/>
        <item x="206"/>
        <item x="314"/>
        <item x="97"/>
        <item x="129"/>
        <item x="60"/>
        <item x="294"/>
        <item x="275"/>
        <item x="317"/>
        <item x="328"/>
        <item x="242"/>
        <item x="91"/>
        <item x="261"/>
        <item x="350"/>
        <item x="337"/>
        <item x="278"/>
        <item x="47"/>
        <item x="265"/>
        <item x="28"/>
        <item x="259"/>
        <item x="132"/>
        <item x="39"/>
        <item x="234"/>
        <item x="194"/>
        <item x="293"/>
        <item x="188"/>
        <item x="42"/>
        <item x="153"/>
        <item x="133"/>
        <item x="270"/>
        <item x="44"/>
        <item x="137"/>
        <item x="116"/>
        <item x="17"/>
        <item x="175"/>
        <item x="313"/>
        <item x="162"/>
        <item x="102"/>
        <item x="127"/>
        <item x="2"/>
        <item x="74"/>
        <item x="241"/>
        <item x="190"/>
        <item x="239"/>
        <item x="199"/>
        <item x="198"/>
        <item x="32"/>
        <item x="13"/>
        <item x="285"/>
        <item x="329"/>
        <item x="262"/>
        <item x="25"/>
        <item x="252"/>
        <item x="64"/>
        <item x="163"/>
        <item x="50"/>
        <item x="144"/>
        <item x="348"/>
        <item x="98"/>
        <item x="148"/>
        <item x="303"/>
        <item x="27"/>
        <item x="122"/>
        <item x="280"/>
        <item x="138"/>
        <item x="299"/>
        <item x="266"/>
        <item x="121"/>
        <item x="336"/>
        <item x="82"/>
        <item x="345"/>
        <item x="217"/>
        <item x="286"/>
        <item x="134"/>
        <item x="26"/>
        <item x="219"/>
        <item x="349"/>
        <item x="181"/>
        <item x="36"/>
        <item x="310"/>
        <item x="65"/>
        <item x="202"/>
        <item x="117"/>
        <item x="16"/>
        <item x="340"/>
        <item x="177"/>
        <item x="176"/>
        <item x="103"/>
        <item x="168"/>
        <item x="203"/>
        <item x="131"/>
        <item x="334"/>
        <item x="237"/>
        <item x="69"/>
        <item x="119"/>
        <item x="332"/>
        <item x="114"/>
        <item x="231"/>
        <item x="87"/>
        <item x="321"/>
        <item x="94"/>
        <item x="205"/>
        <item x="48"/>
        <item x="4"/>
        <item x="308"/>
        <item x="63"/>
        <item x="185"/>
        <item x="214"/>
        <item x="238"/>
        <item x="66"/>
        <item x="227"/>
        <item x="173"/>
        <item x="222"/>
        <item x="72"/>
        <item x="56"/>
        <item x="57"/>
        <item x="21"/>
        <item x="86"/>
        <item x="30"/>
        <item x="100"/>
        <item x="164"/>
        <item x="151"/>
        <item x="316"/>
        <item x="243"/>
        <item x="101"/>
        <item x="284"/>
        <item x="33"/>
        <item x="141"/>
        <item x="51"/>
        <item x="23"/>
        <item x="272"/>
        <item x="80"/>
        <item x="184"/>
        <item x="228"/>
        <item x="34"/>
        <item x="225"/>
        <item x="79"/>
        <item x="58"/>
        <item x="324"/>
        <item x="54"/>
        <item x="305"/>
        <item x="37"/>
        <item x="346"/>
        <item x="344"/>
        <item x="14"/>
        <item x="183"/>
        <item x="298"/>
        <item x="110"/>
        <item x="245"/>
        <item x="325"/>
        <item x="287"/>
        <item x="193"/>
        <item x="189"/>
        <item x="156"/>
        <item x="197"/>
        <item x="6"/>
        <item x="68"/>
        <item x="297"/>
        <item x="76"/>
        <item x="155"/>
        <item x="240"/>
        <item x="230"/>
        <item x="333"/>
        <item x="29"/>
        <item x="99"/>
        <item x="174"/>
        <item x="330"/>
        <item x="40"/>
        <item x="276"/>
        <item x="5"/>
        <item x="279"/>
        <item x="130"/>
        <item x="256"/>
        <item x="12"/>
        <item x="311"/>
        <item x="322"/>
        <item x="1"/>
        <item x="178"/>
        <item x="90"/>
        <item x="263"/>
        <item x="136"/>
        <item x="323"/>
        <item x="304"/>
        <item x="96"/>
        <item x="167"/>
        <item x="145"/>
        <item x="290"/>
        <item x="257"/>
        <item x="43"/>
        <item x="204"/>
        <item x="84"/>
        <item x="108"/>
        <item x="273"/>
        <item x="247"/>
        <item x="209"/>
        <item x="274"/>
        <item x="10"/>
        <item x="161"/>
        <item x="320"/>
        <item x="104"/>
        <item x="246"/>
        <item x="109"/>
        <item x="277"/>
        <item x="236"/>
        <item x="319"/>
        <item x="301"/>
        <item x="85"/>
        <item x="112"/>
        <item x="15"/>
        <item x="71"/>
        <item x="269"/>
        <item x="271"/>
        <item x="143"/>
        <item x="106"/>
        <item x="268"/>
        <item x="159"/>
        <item x="0"/>
        <item x="339"/>
        <item x="123"/>
        <item x="315"/>
        <item x="207"/>
        <item x="41"/>
        <item x="216"/>
        <item x="295"/>
        <item x="182"/>
        <item x="187"/>
        <item x="233"/>
        <item x="78"/>
        <item x="124"/>
        <item x="223"/>
        <item x="149"/>
        <item x="125"/>
        <item x="260"/>
        <item x="142"/>
        <item x="331"/>
        <item x="160"/>
        <item x="128"/>
        <item x="19"/>
        <item x="306"/>
        <item x="105"/>
        <item x="212"/>
        <item x="283"/>
        <item x="281"/>
        <item x="251"/>
        <item x="341"/>
        <item x="258"/>
        <item x="7"/>
        <item t="default"/>
      </items>
    </pivotField>
    <pivotField showAll="0"/>
    <pivotField showAll="0"/>
    <pivotField showAll="0"/>
    <pivotField showAll="0"/>
    <pivotField showAll="0"/>
    <pivotField showAll="0">
      <items count="7">
        <item x="1"/>
        <item m="1" x="5"/>
        <item m="1" x="4"/>
        <item x="2"/>
        <item x="0"/>
        <item x="3"/>
        <item t="default"/>
      </items>
    </pivotField>
    <pivotField showAll="0"/>
    <pivotField showAll="0">
      <items count="5">
        <item x="3"/>
        <item x="0"/>
        <item x="1"/>
        <item x="2"/>
        <item t="default"/>
      </items>
    </pivotField>
    <pivotField axis="axisRow" showAll="0" measureFilter="1" sortType="descending">
      <items count="16">
        <item x="14"/>
        <item x="2"/>
        <item x="1"/>
        <item x="9"/>
        <item x="5"/>
        <item x="10"/>
        <item x="4"/>
        <item x="13"/>
        <item x="6"/>
        <item x="11"/>
        <item x="3"/>
        <item x="0"/>
        <item x="7"/>
        <item x="12"/>
        <item x="8"/>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showAll="0"/>
    <pivotField showAll="0">
      <items count="5">
        <item x="1"/>
        <item x="3"/>
        <item x="0"/>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1">
    <i>
      <x v="1"/>
    </i>
    <i>
      <x v="11"/>
    </i>
    <i>
      <x/>
    </i>
    <i>
      <x v="4"/>
    </i>
    <i>
      <x v="10"/>
    </i>
    <i>
      <x v="12"/>
    </i>
    <i>
      <x v="8"/>
    </i>
    <i>
      <x v="7"/>
    </i>
    <i>
      <x v="5"/>
    </i>
    <i>
      <x v="6"/>
    </i>
    <i t="grand">
      <x/>
    </i>
  </rowItems>
  <colFields count="1">
    <field x="-2"/>
  </colFields>
  <colItems count="2">
    <i>
      <x/>
    </i>
    <i i="1">
      <x v="1"/>
    </i>
  </colItems>
  <dataFields count="2">
    <dataField name="Sum of LineRevenue" fld="13" baseField="0" baseItem="0"/>
    <dataField name="Sum of Quantity" fld="11" baseField="0" baseItem="0"/>
  </dataField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645BCF-32C2-45AB-AB46-CD03EDFDD8E4}" name="PivotTable9"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T7" firstHeaderRow="1" firstDataRow="2" firstDataCol="1"/>
  <pivotFields count="19">
    <pivotField showAll="0"/>
    <pivotField numFmtId="14" showAll="0">
      <items count="354">
        <item x="215"/>
        <item x="31"/>
        <item x="300"/>
        <item x="89"/>
        <item x="140"/>
        <item x="196"/>
        <item x="342"/>
        <item x="169"/>
        <item x="73"/>
        <item x="221"/>
        <item x="150"/>
        <item x="254"/>
        <item x="75"/>
        <item x="113"/>
        <item x="307"/>
        <item x="248"/>
        <item x="309"/>
        <item x="3"/>
        <item x="154"/>
        <item x="135"/>
        <item x="35"/>
        <item x="70"/>
        <item x="195"/>
        <item x="201"/>
        <item x="139"/>
        <item x="291"/>
        <item x="157"/>
        <item x="9"/>
        <item x="24"/>
        <item x="229"/>
        <item x="282"/>
        <item x="170"/>
        <item x="61"/>
        <item x="107"/>
        <item x="347"/>
        <item x="49"/>
        <item x="77"/>
        <item x="200"/>
        <item x="83"/>
        <item x="351"/>
        <item x="220"/>
        <item x="46"/>
        <item x="92"/>
        <item x="165"/>
        <item x="249"/>
        <item x="179"/>
        <item x="11"/>
        <item x="147"/>
        <item x="253"/>
        <item x="296"/>
        <item x="115"/>
        <item x="250"/>
        <item x="52"/>
        <item x="352"/>
        <item x="53"/>
        <item x="326"/>
        <item x="224"/>
        <item x="180"/>
        <item x="289"/>
        <item x="210"/>
        <item x="218"/>
        <item x="172"/>
        <item x="255"/>
        <item x="38"/>
        <item x="186"/>
        <item x="118"/>
        <item x="338"/>
        <item x="213"/>
        <item x="343"/>
        <item x="302"/>
        <item x="318"/>
        <item x="152"/>
        <item x="264"/>
        <item x="88"/>
        <item x="166"/>
        <item x="327"/>
        <item x="18"/>
        <item x="95"/>
        <item x="20"/>
        <item x="171"/>
        <item x="55"/>
        <item x="192"/>
        <item x="267"/>
        <item x="208"/>
        <item x="235"/>
        <item x="226"/>
        <item x="8"/>
        <item x="81"/>
        <item x="158"/>
        <item x="335"/>
        <item x="292"/>
        <item x="126"/>
        <item x="120"/>
        <item x="244"/>
        <item x="312"/>
        <item x="288"/>
        <item x="232"/>
        <item x="93"/>
        <item x="67"/>
        <item x="111"/>
        <item x="62"/>
        <item x="22"/>
        <item x="59"/>
        <item x="146"/>
        <item x="191"/>
        <item x="45"/>
        <item x="211"/>
        <item x="206"/>
        <item x="314"/>
        <item x="97"/>
        <item x="129"/>
        <item x="60"/>
        <item x="294"/>
        <item x="275"/>
        <item x="317"/>
        <item x="328"/>
        <item x="242"/>
        <item x="91"/>
        <item x="261"/>
        <item x="350"/>
        <item x="337"/>
        <item x="278"/>
        <item x="47"/>
        <item x="265"/>
        <item x="28"/>
        <item x="259"/>
        <item x="132"/>
        <item x="39"/>
        <item x="234"/>
        <item x="194"/>
        <item x="293"/>
        <item x="188"/>
        <item x="42"/>
        <item x="153"/>
        <item x="133"/>
        <item x="270"/>
        <item x="44"/>
        <item x="137"/>
        <item x="116"/>
        <item x="17"/>
        <item x="175"/>
        <item x="313"/>
        <item x="162"/>
        <item x="102"/>
        <item x="127"/>
        <item x="2"/>
        <item x="74"/>
        <item x="241"/>
        <item x="190"/>
        <item x="239"/>
        <item x="199"/>
        <item x="198"/>
        <item x="32"/>
        <item x="13"/>
        <item x="285"/>
        <item x="329"/>
        <item x="262"/>
        <item x="25"/>
        <item x="252"/>
        <item x="64"/>
        <item x="163"/>
        <item x="50"/>
        <item x="144"/>
        <item x="348"/>
        <item x="98"/>
        <item x="148"/>
        <item x="303"/>
        <item x="27"/>
        <item x="122"/>
        <item x="280"/>
        <item x="138"/>
        <item x="299"/>
        <item x="266"/>
        <item x="121"/>
        <item x="336"/>
        <item x="82"/>
        <item x="345"/>
        <item x="217"/>
        <item x="286"/>
        <item x="134"/>
        <item x="26"/>
        <item x="219"/>
        <item x="349"/>
        <item x="181"/>
        <item x="36"/>
        <item x="310"/>
        <item x="65"/>
        <item x="202"/>
        <item x="117"/>
        <item x="16"/>
        <item x="340"/>
        <item x="177"/>
        <item x="176"/>
        <item x="103"/>
        <item x="168"/>
        <item x="203"/>
        <item x="131"/>
        <item x="334"/>
        <item x="237"/>
        <item x="69"/>
        <item x="119"/>
        <item x="332"/>
        <item x="114"/>
        <item x="231"/>
        <item x="87"/>
        <item x="321"/>
        <item x="94"/>
        <item x="205"/>
        <item x="48"/>
        <item x="4"/>
        <item x="308"/>
        <item x="63"/>
        <item x="185"/>
        <item x="214"/>
        <item x="238"/>
        <item x="66"/>
        <item x="227"/>
        <item x="173"/>
        <item x="222"/>
        <item x="72"/>
        <item x="56"/>
        <item x="57"/>
        <item x="21"/>
        <item x="86"/>
        <item x="30"/>
        <item x="100"/>
        <item x="164"/>
        <item x="151"/>
        <item x="316"/>
        <item x="243"/>
        <item x="101"/>
        <item x="284"/>
        <item x="33"/>
        <item x="141"/>
        <item x="51"/>
        <item x="23"/>
        <item x="272"/>
        <item x="80"/>
        <item x="184"/>
        <item x="228"/>
        <item x="34"/>
        <item x="225"/>
        <item x="79"/>
        <item x="58"/>
        <item x="324"/>
        <item x="54"/>
        <item x="305"/>
        <item x="37"/>
        <item x="346"/>
        <item x="344"/>
        <item x="14"/>
        <item x="183"/>
        <item x="298"/>
        <item x="110"/>
        <item x="245"/>
        <item x="325"/>
        <item x="287"/>
        <item x="193"/>
        <item x="189"/>
        <item x="156"/>
        <item x="197"/>
        <item x="6"/>
        <item x="68"/>
        <item x="297"/>
        <item x="76"/>
        <item x="155"/>
        <item x="240"/>
        <item x="230"/>
        <item x="333"/>
        <item x="29"/>
        <item x="99"/>
        <item x="174"/>
        <item x="330"/>
        <item x="40"/>
        <item x="276"/>
        <item x="5"/>
        <item x="279"/>
        <item x="130"/>
        <item x="256"/>
        <item x="12"/>
        <item x="311"/>
        <item x="322"/>
        <item x="1"/>
        <item x="178"/>
        <item x="90"/>
        <item x="263"/>
        <item x="136"/>
        <item x="323"/>
        <item x="304"/>
        <item x="96"/>
        <item x="167"/>
        <item x="145"/>
        <item x="290"/>
        <item x="257"/>
        <item x="43"/>
        <item x="204"/>
        <item x="84"/>
        <item x="108"/>
        <item x="273"/>
        <item x="247"/>
        <item x="209"/>
        <item x="274"/>
        <item x="10"/>
        <item x="161"/>
        <item x="320"/>
        <item x="104"/>
        <item x="246"/>
        <item x="109"/>
        <item x="277"/>
        <item x="236"/>
        <item x="319"/>
        <item x="301"/>
        <item x="85"/>
        <item x="112"/>
        <item x="15"/>
        <item x="71"/>
        <item x="269"/>
        <item x="271"/>
        <item x="143"/>
        <item x="106"/>
        <item x="268"/>
        <item x="159"/>
        <item x="0"/>
        <item x="339"/>
        <item x="123"/>
        <item x="315"/>
        <item x="207"/>
        <item x="41"/>
        <item x="216"/>
        <item x="295"/>
        <item x="182"/>
        <item x="187"/>
        <item x="233"/>
        <item x="78"/>
        <item x="124"/>
        <item x="223"/>
        <item x="149"/>
        <item x="125"/>
        <item x="260"/>
        <item x="142"/>
        <item x="331"/>
        <item x="160"/>
        <item x="128"/>
        <item x="19"/>
        <item x="306"/>
        <item x="105"/>
        <item x="212"/>
        <item x="283"/>
        <item x="281"/>
        <item x="251"/>
        <item x="341"/>
        <item x="258"/>
        <item x="7"/>
        <item t="default"/>
      </items>
    </pivotField>
    <pivotField showAll="0"/>
    <pivotField axis="axisCol" showAll="0">
      <items count="5">
        <item x="2"/>
        <item x="1"/>
        <item x="3"/>
        <item x="0"/>
        <item t="default"/>
      </items>
    </pivotField>
    <pivotField showAll="0"/>
    <pivotField showAll="0"/>
    <pivotField showAll="0"/>
    <pivotField showAll="0">
      <items count="7">
        <item x="1"/>
        <item m="1" x="5"/>
        <item m="1" x="4"/>
        <item x="2"/>
        <item x="0"/>
        <item x="3"/>
        <item t="default"/>
      </items>
    </pivotField>
    <pivotField showAll="0"/>
    <pivotField axis="axisRow" showAll="0">
      <items count="5">
        <item x="3"/>
        <item x="0"/>
        <item x="1"/>
        <item x="2"/>
        <item t="default"/>
      </items>
    </pivotField>
    <pivotField showAll="0"/>
    <pivotField dataField="1" showAll="0"/>
    <pivotField showAll="0"/>
    <pivotField showAll="0"/>
    <pivotField showAll="0"/>
    <pivotField showAll="0">
      <items count="5">
        <item x="1"/>
        <item x="3"/>
        <item x="0"/>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5">
    <i>
      <x/>
    </i>
    <i>
      <x v="1"/>
    </i>
    <i>
      <x v="2"/>
    </i>
    <i>
      <x v="3"/>
    </i>
    <i t="grand">
      <x/>
    </i>
  </rowItems>
  <colFields count="1">
    <field x="3"/>
  </colFields>
  <colItems count="5">
    <i>
      <x/>
    </i>
    <i>
      <x v="1"/>
    </i>
    <i>
      <x v="2"/>
    </i>
    <i>
      <x v="3"/>
    </i>
    <i t="grand">
      <x/>
    </i>
  </colItems>
  <dataFields count="1">
    <dataField name="Count of Quantity" fld="11"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93AFB0-9C31-4860-8355-3BBD3FE4047F}"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M7" firstHeaderRow="1" firstDataRow="2" firstDataCol="1"/>
  <pivotFields count="19">
    <pivotField showAll="0"/>
    <pivotField numFmtId="14" showAll="0">
      <items count="354">
        <item x="215"/>
        <item x="31"/>
        <item x="300"/>
        <item x="89"/>
        <item x="140"/>
        <item x="196"/>
        <item x="342"/>
        <item x="169"/>
        <item x="73"/>
        <item x="221"/>
        <item x="150"/>
        <item x="254"/>
        <item x="75"/>
        <item x="113"/>
        <item x="307"/>
        <item x="248"/>
        <item x="309"/>
        <item x="3"/>
        <item x="154"/>
        <item x="135"/>
        <item x="35"/>
        <item x="70"/>
        <item x="195"/>
        <item x="201"/>
        <item x="139"/>
        <item x="291"/>
        <item x="157"/>
        <item x="9"/>
        <item x="24"/>
        <item x="229"/>
        <item x="282"/>
        <item x="170"/>
        <item x="61"/>
        <item x="107"/>
        <item x="347"/>
        <item x="49"/>
        <item x="77"/>
        <item x="200"/>
        <item x="83"/>
        <item x="351"/>
        <item x="220"/>
        <item x="46"/>
        <item x="92"/>
        <item x="165"/>
        <item x="249"/>
        <item x="179"/>
        <item x="11"/>
        <item x="147"/>
        <item x="253"/>
        <item x="296"/>
        <item x="115"/>
        <item x="250"/>
        <item x="52"/>
        <item x="352"/>
        <item x="53"/>
        <item x="326"/>
        <item x="224"/>
        <item x="180"/>
        <item x="289"/>
        <item x="210"/>
        <item x="218"/>
        <item x="172"/>
        <item x="255"/>
        <item x="38"/>
        <item x="186"/>
        <item x="118"/>
        <item x="338"/>
        <item x="213"/>
        <item x="343"/>
        <item x="302"/>
        <item x="318"/>
        <item x="152"/>
        <item x="264"/>
        <item x="88"/>
        <item x="166"/>
        <item x="327"/>
        <item x="18"/>
        <item x="95"/>
        <item x="20"/>
        <item x="171"/>
        <item x="55"/>
        <item x="192"/>
        <item x="267"/>
        <item x="208"/>
        <item x="235"/>
        <item x="226"/>
        <item x="8"/>
        <item x="81"/>
        <item x="158"/>
        <item x="335"/>
        <item x="292"/>
        <item x="126"/>
        <item x="120"/>
        <item x="244"/>
        <item x="312"/>
        <item x="288"/>
        <item x="232"/>
        <item x="93"/>
        <item x="67"/>
        <item x="111"/>
        <item x="62"/>
        <item x="22"/>
        <item x="59"/>
        <item x="146"/>
        <item x="191"/>
        <item x="45"/>
        <item x="211"/>
        <item x="206"/>
        <item x="314"/>
        <item x="97"/>
        <item x="129"/>
        <item x="60"/>
        <item x="294"/>
        <item x="275"/>
        <item x="317"/>
        <item x="328"/>
        <item x="242"/>
        <item x="91"/>
        <item x="261"/>
        <item x="350"/>
        <item x="337"/>
        <item x="278"/>
        <item x="47"/>
        <item x="265"/>
        <item x="28"/>
        <item x="259"/>
        <item x="132"/>
        <item x="39"/>
        <item x="234"/>
        <item x="194"/>
        <item x="293"/>
        <item x="188"/>
        <item x="42"/>
        <item x="153"/>
        <item x="133"/>
        <item x="270"/>
        <item x="44"/>
        <item x="137"/>
        <item x="116"/>
        <item x="17"/>
        <item x="175"/>
        <item x="313"/>
        <item x="162"/>
        <item x="102"/>
        <item x="127"/>
        <item x="2"/>
        <item x="74"/>
        <item x="241"/>
        <item x="190"/>
        <item x="239"/>
        <item x="199"/>
        <item x="198"/>
        <item x="32"/>
        <item x="13"/>
        <item x="285"/>
        <item x="329"/>
        <item x="262"/>
        <item x="25"/>
        <item x="252"/>
        <item x="64"/>
        <item x="163"/>
        <item x="50"/>
        <item x="144"/>
        <item x="348"/>
        <item x="98"/>
        <item x="148"/>
        <item x="303"/>
        <item x="27"/>
        <item x="122"/>
        <item x="280"/>
        <item x="138"/>
        <item x="299"/>
        <item x="266"/>
        <item x="121"/>
        <item x="336"/>
        <item x="82"/>
        <item x="345"/>
        <item x="217"/>
        <item x="286"/>
        <item x="134"/>
        <item x="26"/>
        <item x="219"/>
        <item x="349"/>
        <item x="181"/>
        <item x="36"/>
        <item x="310"/>
        <item x="65"/>
        <item x="202"/>
        <item x="117"/>
        <item x="16"/>
        <item x="340"/>
        <item x="177"/>
        <item x="176"/>
        <item x="103"/>
        <item x="168"/>
        <item x="203"/>
        <item x="131"/>
        <item x="334"/>
        <item x="237"/>
        <item x="69"/>
        <item x="119"/>
        <item x="332"/>
        <item x="114"/>
        <item x="231"/>
        <item x="87"/>
        <item x="321"/>
        <item x="94"/>
        <item x="205"/>
        <item x="48"/>
        <item x="4"/>
        <item x="308"/>
        <item x="63"/>
        <item x="185"/>
        <item x="214"/>
        <item x="238"/>
        <item x="66"/>
        <item x="227"/>
        <item x="173"/>
        <item x="222"/>
        <item x="72"/>
        <item x="56"/>
        <item x="57"/>
        <item x="21"/>
        <item x="86"/>
        <item x="30"/>
        <item x="100"/>
        <item x="164"/>
        <item x="151"/>
        <item x="316"/>
        <item x="243"/>
        <item x="101"/>
        <item x="284"/>
        <item x="33"/>
        <item x="141"/>
        <item x="51"/>
        <item x="23"/>
        <item x="272"/>
        <item x="80"/>
        <item x="184"/>
        <item x="228"/>
        <item x="34"/>
        <item x="225"/>
        <item x="79"/>
        <item x="58"/>
        <item x="324"/>
        <item x="54"/>
        <item x="305"/>
        <item x="37"/>
        <item x="346"/>
        <item x="344"/>
        <item x="14"/>
        <item x="183"/>
        <item x="298"/>
        <item x="110"/>
        <item x="245"/>
        <item x="325"/>
        <item x="287"/>
        <item x="193"/>
        <item x="189"/>
        <item x="156"/>
        <item x="197"/>
        <item x="6"/>
        <item x="68"/>
        <item x="297"/>
        <item x="76"/>
        <item x="155"/>
        <item x="240"/>
        <item x="230"/>
        <item x="333"/>
        <item x="29"/>
        <item x="99"/>
        <item x="174"/>
        <item x="330"/>
        <item x="40"/>
        <item x="276"/>
        <item x="5"/>
        <item x="279"/>
        <item x="130"/>
        <item x="256"/>
        <item x="12"/>
        <item x="311"/>
        <item x="322"/>
        <item x="1"/>
        <item x="178"/>
        <item x="90"/>
        <item x="263"/>
        <item x="136"/>
        <item x="323"/>
        <item x="304"/>
        <item x="96"/>
        <item x="167"/>
        <item x="145"/>
        <item x="290"/>
        <item x="257"/>
        <item x="43"/>
        <item x="204"/>
        <item x="84"/>
        <item x="108"/>
        <item x="273"/>
        <item x="247"/>
        <item x="209"/>
        <item x="274"/>
        <item x="10"/>
        <item x="161"/>
        <item x="320"/>
        <item x="104"/>
        <item x="246"/>
        <item x="109"/>
        <item x="277"/>
        <item x="236"/>
        <item x="319"/>
        <item x="301"/>
        <item x="85"/>
        <item x="112"/>
        <item x="15"/>
        <item x="71"/>
        <item x="269"/>
        <item x="271"/>
        <item x="143"/>
        <item x="106"/>
        <item x="268"/>
        <item x="159"/>
        <item x="0"/>
        <item x="339"/>
        <item x="123"/>
        <item x="315"/>
        <item x="207"/>
        <item x="41"/>
        <item x="216"/>
        <item x="295"/>
        <item x="182"/>
        <item x="187"/>
        <item x="233"/>
        <item x="78"/>
        <item x="124"/>
        <item x="223"/>
        <item x="149"/>
        <item x="125"/>
        <item x="260"/>
        <item x="142"/>
        <item x="331"/>
        <item x="160"/>
        <item x="128"/>
        <item x="19"/>
        <item x="306"/>
        <item x="105"/>
        <item x="212"/>
        <item x="283"/>
        <item x="281"/>
        <item x="251"/>
        <item x="341"/>
        <item x="258"/>
        <item x="7"/>
        <item t="default"/>
      </items>
    </pivotField>
    <pivotField showAll="0"/>
    <pivotField axis="axisCol" showAll="0">
      <items count="5">
        <item x="2"/>
        <item x="1"/>
        <item x="3"/>
        <item x="0"/>
        <item t="default"/>
      </items>
    </pivotField>
    <pivotField showAll="0"/>
    <pivotField showAll="0"/>
    <pivotField showAll="0"/>
    <pivotField showAll="0">
      <items count="7">
        <item x="1"/>
        <item m="1" x="5"/>
        <item m="1" x="4"/>
        <item x="2"/>
        <item x="0"/>
        <item x="3"/>
        <item t="default"/>
      </items>
    </pivotField>
    <pivotField showAll="0"/>
    <pivotField axis="axisRow" showAll="0">
      <items count="5">
        <item x="3"/>
        <item x="0"/>
        <item x="1"/>
        <item x="2"/>
        <item t="default"/>
      </items>
    </pivotField>
    <pivotField showAll="0"/>
    <pivotField dataField="1" showAll="0"/>
    <pivotField showAll="0"/>
    <pivotField showAll="0"/>
    <pivotField showAll="0"/>
    <pivotField showAll="0">
      <items count="5">
        <item x="1"/>
        <item x="3"/>
        <item x="0"/>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5">
    <i>
      <x/>
    </i>
    <i>
      <x v="1"/>
    </i>
    <i>
      <x v="2"/>
    </i>
    <i>
      <x v="3"/>
    </i>
    <i t="grand">
      <x/>
    </i>
  </rowItems>
  <colFields count="1">
    <field x="3"/>
  </colFields>
  <colItems count="5">
    <i>
      <x/>
    </i>
    <i>
      <x v="1"/>
    </i>
    <i>
      <x v="2"/>
    </i>
    <i>
      <x v="3"/>
    </i>
    <i t="grand">
      <x/>
    </i>
  </colItems>
  <dataFields count="1">
    <dataField name="Sum of Quantit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2C02D4-83A4-49AB-B98E-65FA4B0168AF}"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0:B43" firstHeaderRow="1" firstDataRow="1" firstDataCol="1"/>
  <pivotFields count="19">
    <pivotField showAll="0"/>
    <pivotField axis="axisRow" numFmtId="14" showAll="0">
      <items count="354">
        <item x="215"/>
        <item x="31"/>
        <item x="300"/>
        <item x="89"/>
        <item x="140"/>
        <item x="196"/>
        <item x="342"/>
        <item x="169"/>
        <item x="73"/>
        <item x="221"/>
        <item x="150"/>
        <item x="254"/>
        <item x="75"/>
        <item x="113"/>
        <item x="307"/>
        <item x="248"/>
        <item x="309"/>
        <item x="3"/>
        <item x="154"/>
        <item x="135"/>
        <item x="35"/>
        <item x="70"/>
        <item x="195"/>
        <item x="201"/>
        <item x="139"/>
        <item x="291"/>
        <item x="157"/>
        <item x="9"/>
        <item x="24"/>
        <item x="229"/>
        <item x="282"/>
        <item x="170"/>
        <item x="61"/>
        <item x="107"/>
        <item x="347"/>
        <item x="49"/>
        <item x="77"/>
        <item x="200"/>
        <item x="83"/>
        <item x="351"/>
        <item x="220"/>
        <item x="46"/>
        <item x="92"/>
        <item x="165"/>
        <item x="249"/>
        <item x="179"/>
        <item x="11"/>
        <item x="147"/>
        <item x="253"/>
        <item x="296"/>
        <item x="115"/>
        <item x="250"/>
        <item x="52"/>
        <item x="352"/>
        <item x="53"/>
        <item x="326"/>
        <item x="224"/>
        <item x="180"/>
        <item x="289"/>
        <item x="210"/>
        <item x="218"/>
        <item x="172"/>
        <item x="255"/>
        <item x="38"/>
        <item x="186"/>
        <item x="118"/>
        <item x="338"/>
        <item x="213"/>
        <item x="343"/>
        <item x="302"/>
        <item x="318"/>
        <item x="152"/>
        <item x="264"/>
        <item x="88"/>
        <item x="166"/>
        <item x="327"/>
        <item x="18"/>
        <item x="95"/>
        <item x="20"/>
        <item x="171"/>
        <item x="55"/>
        <item x="192"/>
        <item x="267"/>
        <item x="208"/>
        <item x="235"/>
        <item x="226"/>
        <item x="8"/>
        <item x="81"/>
        <item x="158"/>
        <item x="335"/>
        <item x="292"/>
        <item x="126"/>
        <item x="120"/>
        <item x="244"/>
        <item x="312"/>
        <item x="288"/>
        <item x="232"/>
        <item x="93"/>
        <item x="67"/>
        <item x="111"/>
        <item x="62"/>
        <item x="22"/>
        <item x="59"/>
        <item x="146"/>
        <item x="191"/>
        <item x="45"/>
        <item x="211"/>
        <item x="206"/>
        <item x="314"/>
        <item x="97"/>
        <item x="129"/>
        <item x="60"/>
        <item x="294"/>
        <item x="275"/>
        <item x="317"/>
        <item x="328"/>
        <item x="242"/>
        <item x="91"/>
        <item x="261"/>
        <item x="350"/>
        <item x="337"/>
        <item x="278"/>
        <item x="47"/>
        <item x="265"/>
        <item x="28"/>
        <item x="259"/>
        <item x="132"/>
        <item x="39"/>
        <item x="234"/>
        <item x="194"/>
        <item x="293"/>
        <item x="188"/>
        <item x="42"/>
        <item x="153"/>
        <item x="133"/>
        <item x="270"/>
        <item x="44"/>
        <item x="137"/>
        <item x="116"/>
        <item x="17"/>
        <item x="175"/>
        <item x="313"/>
        <item x="162"/>
        <item x="102"/>
        <item x="127"/>
        <item x="2"/>
        <item x="74"/>
        <item x="241"/>
        <item x="190"/>
        <item x="239"/>
        <item x="199"/>
        <item x="198"/>
        <item x="32"/>
        <item x="13"/>
        <item x="285"/>
        <item x="329"/>
        <item x="262"/>
        <item x="25"/>
        <item x="252"/>
        <item x="64"/>
        <item x="163"/>
        <item x="50"/>
        <item x="144"/>
        <item x="348"/>
        <item x="98"/>
        <item x="148"/>
        <item x="303"/>
        <item x="27"/>
        <item x="122"/>
        <item x="280"/>
        <item x="138"/>
        <item x="299"/>
        <item x="266"/>
        <item x="121"/>
        <item x="336"/>
        <item x="82"/>
        <item x="345"/>
        <item x="217"/>
        <item x="286"/>
        <item x="134"/>
        <item x="26"/>
        <item x="219"/>
        <item x="349"/>
        <item x="181"/>
        <item x="36"/>
        <item x="310"/>
        <item x="65"/>
        <item x="202"/>
        <item x="117"/>
        <item x="16"/>
        <item x="340"/>
        <item x="177"/>
        <item x="176"/>
        <item x="103"/>
        <item x="168"/>
        <item x="203"/>
        <item x="131"/>
        <item x="334"/>
        <item x="237"/>
        <item x="69"/>
        <item x="119"/>
        <item x="332"/>
        <item x="114"/>
        <item x="231"/>
        <item x="87"/>
        <item x="321"/>
        <item x="94"/>
        <item x="205"/>
        <item x="48"/>
        <item x="4"/>
        <item x="308"/>
        <item x="63"/>
        <item x="185"/>
        <item x="214"/>
        <item x="238"/>
        <item x="66"/>
        <item x="227"/>
        <item x="173"/>
        <item x="222"/>
        <item x="72"/>
        <item x="56"/>
        <item x="57"/>
        <item x="21"/>
        <item x="86"/>
        <item x="30"/>
        <item x="100"/>
        <item x="164"/>
        <item x="151"/>
        <item x="316"/>
        <item x="243"/>
        <item x="101"/>
        <item x="284"/>
        <item x="33"/>
        <item x="141"/>
        <item x="51"/>
        <item x="23"/>
        <item x="272"/>
        <item x="80"/>
        <item x="184"/>
        <item x="228"/>
        <item x="34"/>
        <item x="225"/>
        <item x="79"/>
        <item x="58"/>
        <item x="324"/>
        <item x="54"/>
        <item x="305"/>
        <item x="37"/>
        <item x="346"/>
        <item x="344"/>
        <item x="14"/>
        <item x="183"/>
        <item x="298"/>
        <item x="110"/>
        <item x="245"/>
        <item x="325"/>
        <item x="287"/>
        <item x="193"/>
        <item x="189"/>
        <item x="156"/>
        <item x="197"/>
        <item x="6"/>
        <item x="68"/>
        <item x="297"/>
        <item x="76"/>
        <item x="155"/>
        <item x="240"/>
        <item x="230"/>
        <item x="333"/>
        <item x="29"/>
        <item x="99"/>
        <item x="174"/>
        <item x="330"/>
        <item x="40"/>
        <item x="276"/>
        <item x="5"/>
        <item x="279"/>
        <item x="130"/>
        <item x="256"/>
        <item x="12"/>
        <item x="311"/>
        <item x="322"/>
        <item x="1"/>
        <item x="178"/>
        <item x="90"/>
        <item x="263"/>
        <item x="136"/>
        <item x="323"/>
        <item x="304"/>
        <item x="96"/>
        <item x="167"/>
        <item x="145"/>
        <item x="290"/>
        <item x="257"/>
        <item x="43"/>
        <item x="204"/>
        <item x="84"/>
        <item x="108"/>
        <item x="273"/>
        <item x="247"/>
        <item x="209"/>
        <item x="274"/>
        <item x="10"/>
        <item x="161"/>
        <item x="320"/>
        <item x="104"/>
        <item x="246"/>
        <item x="109"/>
        <item x="277"/>
        <item x="236"/>
        <item x="319"/>
        <item x="301"/>
        <item x="85"/>
        <item x="112"/>
        <item x="15"/>
        <item x="71"/>
        <item x="269"/>
        <item x="271"/>
        <item x="143"/>
        <item x="106"/>
        <item x="268"/>
        <item x="159"/>
        <item x="0"/>
        <item x="339"/>
        <item x="123"/>
        <item x="315"/>
        <item x="207"/>
        <item x="41"/>
        <item x="216"/>
        <item x="295"/>
        <item x="182"/>
        <item x="187"/>
        <item x="233"/>
        <item x="78"/>
        <item x="124"/>
        <item x="223"/>
        <item x="149"/>
        <item x="125"/>
        <item x="260"/>
        <item x="142"/>
        <item x="331"/>
        <item x="160"/>
        <item x="128"/>
        <item x="19"/>
        <item x="306"/>
        <item x="105"/>
        <item x="212"/>
        <item x="283"/>
        <item x="281"/>
        <item x="251"/>
        <item x="341"/>
        <item x="258"/>
        <item x="7"/>
        <item t="default"/>
      </items>
    </pivotField>
    <pivotField showAll="0"/>
    <pivotField showAll="0"/>
    <pivotField showAll="0"/>
    <pivotField showAll="0"/>
    <pivotField showAll="0"/>
    <pivotField showAll="0">
      <items count="7">
        <item x="1"/>
        <item m="1" x="5"/>
        <item m="1" x="4"/>
        <item x="2"/>
        <item x="0"/>
        <item x="3"/>
        <item t="default"/>
      </items>
    </pivotField>
    <pivotField showAll="0"/>
    <pivotField showAll="0">
      <items count="5">
        <item x="3"/>
        <item x="0"/>
        <item x="1"/>
        <item x="2"/>
        <item t="default"/>
      </items>
    </pivotField>
    <pivotField showAll="0"/>
    <pivotField showAll="0"/>
    <pivotField showAll="0"/>
    <pivotField dataField="1" showAll="0"/>
    <pivotField showAll="0"/>
    <pivotField showAll="0">
      <items count="5">
        <item x="1"/>
        <item x="3"/>
        <item x="0"/>
        <item x="2"/>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
  </rowFields>
  <rowItems count="13">
    <i>
      <x v="1"/>
    </i>
    <i>
      <x v="2"/>
    </i>
    <i>
      <x v="3"/>
    </i>
    <i>
      <x v="4"/>
    </i>
    <i>
      <x v="5"/>
    </i>
    <i>
      <x v="6"/>
    </i>
    <i>
      <x v="7"/>
    </i>
    <i>
      <x v="8"/>
    </i>
    <i>
      <x v="9"/>
    </i>
    <i>
      <x v="10"/>
    </i>
    <i>
      <x v="11"/>
    </i>
    <i>
      <x v="12"/>
    </i>
    <i t="grand">
      <x/>
    </i>
  </rowItems>
  <colItems count="1">
    <i/>
  </colItems>
  <dataFields count="1">
    <dataField name="Sum of LineRevenue" fld="13" baseField="0" baseItem="0"/>
  </dataFields>
  <chartFormats count="5">
    <chartFormat chart="3" format="6"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ADD3A5-577F-4DCB-A115-4630108BE14F}"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F28" firstHeaderRow="1" firstDataRow="2" firstDataCol="1"/>
  <pivotFields count="19">
    <pivotField showAll="0"/>
    <pivotField numFmtId="14" showAll="0">
      <items count="354">
        <item x="215"/>
        <item x="31"/>
        <item x="300"/>
        <item x="89"/>
        <item x="140"/>
        <item x="196"/>
        <item x="342"/>
        <item x="169"/>
        <item x="73"/>
        <item x="221"/>
        <item x="150"/>
        <item x="254"/>
        <item x="75"/>
        <item x="113"/>
        <item x="307"/>
        <item x="248"/>
        <item x="309"/>
        <item x="3"/>
        <item x="154"/>
        <item x="135"/>
        <item x="35"/>
        <item x="70"/>
        <item x="195"/>
        <item x="201"/>
        <item x="139"/>
        <item x="291"/>
        <item x="157"/>
        <item x="9"/>
        <item x="24"/>
        <item x="229"/>
        <item x="282"/>
        <item x="170"/>
        <item x="61"/>
        <item x="107"/>
        <item x="347"/>
        <item x="49"/>
        <item x="77"/>
        <item x="200"/>
        <item x="83"/>
        <item x="351"/>
        <item x="220"/>
        <item x="46"/>
        <item x="92"/>
        <item x="165"/>
        <item x="249"/>
        <item x="179"/>
        <item x="11"/>
        <item x="147"/>
        <item x="253"/>
        <item x="296"/>
        <item x="115"/>
        <item x="250"/>
        <item x="52"/>
        <item x="352"/>
        <item x="53"/>
        <item x="326"/>
        <item x="224"/>
        <item x="180"/>
        <item x="289"/>
        <item x="210"/>
        <item x="218"/>
        <item x="172"/>
        <item x="255"/>
        <item x="38"/>
        <item x="186"/>
        <item x="118"/>
        <item x="338"/>
        <item x="213"/>
        <item x="343"/>
        <item x="302"/>
        <item x="318"/>
        <item x="152"/>
        <item x="264"/>
        <item x="88"/>
        <item x="166"/>
        <item x="327"/>
        <item x="18"/>
        <item x="95"/>
        <item x="20"/>
        <item x="171"/>
        <item x="55"/>
        <item x="192"/>
        <item x="267"/>
        <item x="208"/>
        <item x="235"/>
        <item x="226"/>
        <item x="8"/>
        <item x="81"/>
        <item x="158"/>
        <item x="335"/>
        <item x="292"/>
        <item x="126"/>
        <item x="120"/>
        <item x="244"/>
        <item x="312"/>
        <item x="288"/>
        <item x="232"/>
        <item x="93"/>
        <item x="67"/>
        <item x="111"/>
        <item x="62"/>
        <item x="22"/>
        <item x="59"/>
        <item x="146"/>
        <item x="191"/>
        <item x="45"/>
        <item x="211"/>
        <item x="206"/>
        <item x="314"/>
        <item x="97"/>
        <item x="129"/>
        <item x="60"/>
        <item x="294"/>
        <item x="275"/>
        <item x="317"/>
        <item x="328"/>
        <item x="242"/>
        <item x="91"/>
        <item x="261"/>
        <item x="350"/>
        <item x="337"/>
        <item x="278"/>
        <item x="47"/>
        <item x="265"/>
        <item x="28"/>
        <item x="259"/>
        <item x="132"/>
        <item x="39"/>
        <item x="234"/>
        <item x="194"/>
        <item x="293"/>
        <item x="188"/>
        <item x="42"/>
        <item x="153"/>
        <item x="133"/>
        <item x="270"/>
        <item x="44"/>
        <item x="137"/>
        <item x="116"/>
        <item x="17"/>
        <item x="175"/>
        <item x="313"/>
        <item x="162"/>
        <item x="102"/>
        <item x="127"/>
        <item x="2"/>
        <item x="74"/>
        <item x="241"/>
        <item x="190"/>
        <item x="239"/>
        <item x="199"/>
        <item x="198"/>
        <item x="32"/>
        <item x="13"/>
        <item x="285"/>
        <item x="329"/>
        <item x="262"/>
        <item x="25"/>
        <item x="252"/>
        <item x="64"/>
        <item x="163"/>
        <item x="50"/>
        <item x="144"/>
        <item x="348"/>
        <item x="98"/>
        <item x="148"/>
        <item x="303"/>
        <item x="27"/>
        <item x="122"/>
        <item x="280"/>
        <item x="138"/>
        <item x="299"/>
        <item x="266"/>
        <item x="121"/>
        <item x="336"/>
        <item x="82"/>
        <item x="345"/>
        <item x="217"/>
        <item x="286"/>
        <item x="134"/>
        <item x="26"/>
        <item x="219"/>
        <item x="349"/>
        <item x="181"/>
        <item x="36"/>
        <item x="310"/>
        <item x="65"/>
        <item x="202"/>
        <item x="117"/>
        <item x="16"/>
        <item x="340"/>
        <item x="177"/>
        <item x="176"/>
        <item x="103"/>
        <item x="168"/>
        <item x="203"/>
        <item x="131"/>
        <item x="334"/>
        <item x="237"/>
        <item x="69"/>
        <item x="119"/>
        <item x="332"/>
        <item x="114"/>
        <item x="231"/>
        <item x="87"/>
        <item x="321"/>
        <item x="94"/>
        <item x="205"/>
        <item x="48"/>
        <item x="4"/>
        <item x="308"/>
        <item x="63"/>
        <item x="185"/>
        <item x="214"/>
        <item x="238"/>
        <item x="66"/>
        <item x="227"/>
        <item x="173"/>
        <item x="222"/>
        <item x="72"/>
        <item x="56"/>
        <item x="57"/>
        <item x="21"/>
        <item x="86"/>
        <item x="30"/>
        <item x="100"/>
        <item x="164"/>
        <item x="151"/>
        <item x="316"/>
        <item x="243"/>
        <item x="101"/>
        <item x="284"/>
        <item x="33"/>
        <item x="141"/>
        <item x="51"/>
        <item x="23"/>
        <item x="272"/>
        <item x="80"/>
        <item x="184"/>
        <item x="228"/>
        <item x="34"/>
        <item x="225"/>
        <item x="79"/>
        <item x="58"/>
        <item x="324"/>
        <item x="54"/>
        <item x="305"/>
        <item x="37"/>
        <item x="346"/>
        <item x="344"/>
        <item x="14"/>
        <item x="183"/>
        <item x="298"/>
        <item x="110"/>
        <item x="245"/>
        <item x="325"/>
        <item x="287"/>
        <item x="193"/>
        <item x="189"/>
        <item x="156"/>
        <item x="197"/>
        <item x="6"/>
        <item x="68"/>
        <item x="297"/>
        <item x="76"/>
        <item x="155"/>
        <item x="240"/>
        <item x="230"/>
        <item x="333"/>
        <item x="29"/>
        <item x="99"/>
        <item x="174"/>
        <item x="330"/>
        <item x="40"/>
        <item x="276"/>
        <item x="5"/>
        <item x="279"/>
        <item x="130"/>
        <item x="256"/>
        <item x="12"/>
        <item x="311"/>
        <item x="322"/>
        <item x="1"/>
        <item x="178"/>
        <item x="90"/>
        <item x="263"/>
        <item x="136"/>
        <item x="323"/>
        <item x="304"/>
        <item x="96"/>
        <item x="167"/>
        <item x="145"/>
        <item x="290"/>
        <item x="257"/>
        <item x="43"/>
        <item x="204"/>
        <item x="84"/>
        <item x="108"/>
        <item x="273"/>
        <item x="247"/>
        <item x="209"/>
        <item x="274"/>
        <item x="10"/>
        <item x="161"/>
        <item x="320"/>
        <item x="104"/>
        <item x="246"/>
        <item x="109"/>
        <item x="277"/>
        <item x="236"/>
        <item x="319"/>
        <item x="301"/>
        <item x="85"/>
        <item x="112"/>
        <item x="15"/>
        <item x="71"/>
        <item x="269"/>
        <item x="271"/>
        <item x="143"/>
        <item x="106"/>
        <item x="268"/>
        <item x="159"/>
        <item x="0"/>
        <item x="339"/>
        <item x="123"/>
        <item x="315"/>
        <item x="207"/>
        <item x="41"/>
        <item x="216"/>
        <item x="295"/>
        <item x="182"/>
        <item x="187"/>
        <item x="233"/>
        <item x="78"/>
        <item x="124"/>
        <item x="223"/>
        <item x="149"/>
        <item x="125"/>
        <item x="260"/>
        <item x="142"/>
        <item x="331"/>
        <item x="160"/>
        <item x="128"/>
        <item x="19"/>
        <item x="306"/>
        <item x="105"/>
        <item x="212"/>
        <item x="283"/>
        <item x="281"/>
        <item x="251"/>
        <item x="341"/>
        <item x="258"/>
        <item x="7"/>
        <item t="default"/>
      </items>
    </pivotField>
    <pivotField showAll="0"/>
    <pivotField showAll="0"/>
    <pivotField showAll="0"/>
    <pivotField showAll="0"/>
    <pivotField showAll="0"/>
    <pivotField axis="axisRow" showAll="0">
      <items count="7">
        <item x="1"/>
        <item m="1" x="5"/>
        <item x="2"/>
        <item x="0"/>
        <item x="3"/>
        <item m="1" x="4"/>
        <item t="default"/>
      </items>
    </pivotField>
    <pivotField showAll="0"/>
    <pivotField showAll="0">
      <items count="5">
        <item x="3"/>
        <item x="0"/>
        <item x="1"/>
        <item x="2"/>
        <item t="default"/>
      </items>
    </pivotField>
    <pivotField showAll="0"/>
    <pivotField showAll="0"/>
    <pivotField showAll="0"/>
    <pivotField dataField="1" showAll="0"/>
    <pivotField showAll="0"/>
    <pivotField axis="axisCol" showAll="0">
      <items count="5">
        <item x="1"/>
        <item x="3"/>
        <item x="0"/>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2"/>
    </i>
    <i>
      <x v="3"/>
    </i>
    <i>
      <x v="4"/>
    </i>
    <i t="grand">
      <x/>
    </i>
  </rowItems>
  <colFields count="1">
    <field x="15"/>
  </colFields>
  <colItems count="5">
    <i>
      <x/>
    </i>
    <i>
      <x v="1"/>
    </i>
    <i>
      <x v="2"/>
    </i>
    <i>
      <x v="3"/>
    </i>
    <i t="grand">
      <x/>
    </i>
  </colItems>
  <dataFields count="1">
    <dataField name="Sum of LineRevenue" fld="13"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FC9FBA-F535-4652-BD8A-DA089F5F65FF}"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colHeaderCaption="Quarter">
  <location ref="A1:F7" firstHeaderRow="1" firstDataRow="2" firstDataCol="1"/>
  <pivotFields count="19">
    <pivotField showAll="0"/>
    <pivotField numFmtId="14" showAll="0">
      <items count="354">
        <item x="215"/>
        <item x="31"/>
        <item x="300"/>
        <item x="89"/>
        <item x="140"/>
        <item x="196"/>
        <item x="342"/>
        <item x="169"/>
        <item x="73"/>
        <item x="221"/>
        <item x="150"/>
        <item x="254"/>
        <item x="75"/>
        <item x="113"/>
        <item x="307"/>
        <item x="248"/>
        <item x="309"/>
        <item x="3"/>
        <item x="154"/>
        <item x="135"/>
        <item x="35"/>
        <item x="70"/>
        <item x="195"/>
        <item x="201"/>
        <item x="139"/>
        <item x="291"/>
        <item x="157"/>
        <item x="9"/>
        <item x="24"/>
        <item x="229"/>
        <item x="282"/>
        <item x="170"/>
        <item x="61"/>
        <item x="107"/>
        <item x="347"/>
        <item x="49"/>
        <item x="77"/>
        <item x="200"/>
        <item x="83"/>
        <item x="351"/>
        <item x="220"/>
        <item x="46"/>
        <item x="92"/>
        <item x="165"/>
        <item x="249"/>
        <item x="179"/>
        <item x="11"/>
        <item x="147"/>
        <item x="253"/>
        <item x="296"/>
        <item x="115"/>
        <item x="250"/>
        <item x="52"/>
        <item x="352"/>
        <item x="53"/>
        <item x="326"/>
        <item x="224"/>
        <item x="180"/>
        <item x="289"/>
        <item x="210"/>
        <item x="218"/>
        <item x="172"/>
        <item x="255"/>
        <item x="38"/>
        <item x="186"/>
        <item x="118"/>
        <item x="338"/>
        <item x="213"/>
        <item x="343"/>
        <item x="302"/>
        <item x="318"/>
        <item x="152"/>
        <item x="264"/>
        <item x="88"/>
        <item x="166"/>
        <item x="327"/>
        <item x="18"/>
        <item x="95"/>
        <item x="20"/>
        <item x="171"/>
        <item x="55"/>
        <item x="192"/>
        <item x="267"/>
        <item x="208"/>
        <item x="235"/>
        <item x="226"/>
        <item x="8"/>
        <item x="81"/>
        <item x="158"/>
        <item x="335"/>
        <item x="292"/>
        <item x="126"/>
        <item x="120"/>
        <item x="244"/>
        <item x="312"/>
        <item x="288"/>
        <item x="232"/>
        <item x="93"/>
        <item x="67"/>
        <item x="111"/>
        <item x="62"/>
        <item x="22"/>
        <item x="59"/>
        <item x="146"/>
        <item x="191"/>
        <item x="45"/>
        <item x="211"/>
        <item x="206"/>
        <item x="314"/>
        <item x="97"/>
        <item x="129"/>
        <item x="60"/>
        <item x="294"/>
        <item x="275"/>
        <item x="317"/>
        <item x="328"/>
        <item x="242"/>
        <item x="91"/>
        <item x="261"/>
        <item x="350"/>
        <item x="337"/>
        <item x="278"/>
        <item x="47"/>
        <item x="265"/>
        <item x="28"/>
        <item x="259"/>
        <item x="132"/>
        <item x="39"/>
        <item x="234"/>
        <item x="194"/>
        <item x="293"/>
        <item x="188"/>
        <item x="42"/>
        <item x="153"/>
        <item x="133"/>
        <item x="270"/>
        <item x="44"/>
        <item x="137"/>
        <item x="116"/>
        <item x="17"/>
        <item x="175"/>
        <item x="313"/>
        <item x="162"/>
        <item x="102"/>
        <item x="127"/>
        <item x="2"/>
        <item x="74"/>
        <item x="241"/>
        <item x="190"/>
        <item x="239"/>
        <item x="199"/>
        <item x="198"/>
        <item x="32"/>
        <item x="13"/>
        <item x="285"/>
        <item x="329"/>
        <item x="262"/>
        <item x="25"/>
        <item x="252"/>
        <item x="64"/>
        <item x="163"/>
        <item x="50"/>
        <item x="144"/>
        <item x="348"/>
        <item x="98"/>
        <item x="148"/>
        <item x="303"/>
        <item x="27"/>
        <item x="122"/>
        <item x="280"/>
        <item x="138"/>
        <item x="299"/>
        <item x="266"/>
        <item x="121"/>
        <item x="336"/>
        <item x="82"/>
        <item x="345"/>
        <item x="217"/>
        <item x="286"/>
        <item x="134"/>
        <item x="26"/>
        <item x="219"/>
        <item x="349"/>
        <item x="181"/>
        <item x="36"/>
        <item x="310"/>
        <item x="65"/>
        <item x="202"/>
        <item x="117"/>
        <item x="16"/>
        <item x="340"/>
        <item x="177"/>
        <item x="176"/>
        <item x="103"/>
        <item x="168"/>
        <item x="203"/>
        <item x="131"/>
        <item x="334"/>
        <item x="237"/>
        <item x="69"/>
        <item x="119"/>
        <item x="332"/>
        <item x="114"/>
        <item x="231"/>
        <item x="87"/>
        <item x="321"/>
        <item x="94"/>
        <item x="205"/>
        <item x="48"/>
        <item x="4"/>
        <item x="308"/>
        <item x="63"/>
        <item x="185"/>
        <item x="214"/>
        <item x="238"/>
        <item x="66"/>
        <item x="227"/>
        <item x="173"/>
        <item x="222"/>
        <item x="72"/>
        <item x="56"/>
        <item x="57"/>
        <item x="21"/>
        <item x="86"/>
        <item x="30"/>
        <item x="100"/>
        <item x="164"/>
        <item x="151"/>
        <item x="316"/>
        <item x="243"/>
        <item x="101"/>
        <item x="284"/>
        <item x="33"/>
        <item x="141"/>
        <item x="51"/>
        <item x="23"/>
        <item x="272"/>
        <item x="80"/>
        <item x="184"/>
        <item x="228"/>
        <item x="34"/>
        <item x="225"/>
        <item x="79"/>
        <item x="58"/>
        <item x="324"/>
        <item x="54"/>
        <item x="305"/>
        <item x="37"/>
        <item x="346"/>
        <item x="344"/>
        <item x="14"/>
        <item x="183"/>
        <item x="298"/>
        <item x="110"/>
        <item x="245"/>
        <item x="325"/>
        <item x="287"/>
        <item x="193"/>
        <item x="189"/>
        <item x="156"/>
        <item x="197"/>
        <item x="6"/>
        <item x="68"/>
        <item x="297"/>
        <item x="76"/>
        <item x="155"/>
        <item x="240"/>
        <item x="230"/>
        <item x="333"/>
        <item x="29"/>
        <item x="99"/>
        <item x="174"/>
        <item x="330"/>
        <item x="40"/>
        <item x="276"/>
        <item x="5"/>
        <item x="279"/>
        <item x="130"/>
        <item x="256"/>
        <item x="12"/>
        <item x="311"/>
        <item x="322"/>
        <item x="1"/>
        <item x="178"/>
        <item x="90"/>
        <item x="263"/>
        <item x="136"/>
        <item x="323"/>
        <item x="304"/>
        <item x="96"/>
        <item x="167"/>
        <item x="145"/>
        <item x="290"/>
        <item x="257"/>
        <item x="43"/>
        <item x="204"/>
        <item x="84"/>
        <item x="108"/>
        <item x="273"/>
        <item x="247"/>
        <item x="209"/>
        <item x="274"/>
        <item x="10"/>
        <item x="161"/>
        <item x="320"/>
        <item x="104"/>
        <item x="246"/>
        <item x="109"/>
        <item x="277"/>
        <item x="236"/>
        <item x="319"/>
        <item x="301"/>
        <item x="85"/>
        <item x="112"/>
        <item x="15"/>
        <item x="71"/>
        <item x="269"/>
        <item x="271"/>
        <item x="143"/>
        <item x="106"/>
        <item x="268"/>
        <item x="159"/>
        <item x="0"/>
        <item x="339"/>
        <item x="123"/>
        <item x="315"/>
        <item x="207"/>
        <item x="41"/>
        <item x="216"/>
        <item x="295"/>
        <item x="182"/>
        <item x="187"/>
        <item x="233"/>
        <item x="78"/>
        <item x="124"/>
        <item x="223"/>
        <item x="149"/>
        <item x="125"/>
        <item x="260"/>
        <item x="142"/>
        <item x="331"/>
        <item x="160"/>
        <item x="128"/>
        <item x="19"/>
        <item x="306"/>
        <item x="105"/>
        <item x="212"/>
        <item x="283"/>
        <item x="281"/>
        <item x="251"/>
        <item x="341"/>
        <item x="258"/>
        <item x="7"/>
        <item t="default"/>
      </items>
    </pivotField>
    <pivotField showAll="0"/>
    <pivotField axis="axisCol" showAll="0">
      <items count="5">
        <item x="2"/>
        <item x="1"/>
        <item x="3"/>
        <item x="0"/>
        <item t="default"/>
      </items>
    </pivotField>
    <pivotField showAll="0"/>
    <pivotField showAll="0"/>
    <pivotField showAll="0"/>
    <pivotField showAll="0">
      <items count="7">
        <item x="1"/>
        <item m="1" x="5"/>
        <item m="1" x="4"/>
        <item x="2"/>
        <item x="0"/>
        <item x="3"/>
        <item t="default"/>
      </items>
    </pivotField>
    <pivotField showAll="0"/>
    <pivotField axis="axisRow" showAll="0">
      <items count="5">
        <item x="3"/>
        <item x="0"/>
        <item x="1"/>
        <item x="2"/>
        <item t="default"/>
      </items>
    </pivotField>
    <pivotField showAll="0"/>
    <pivotField showAll="0"/>
    <pivotField showAll="0"/>
    <pivotField dataField="1" showAll="0"/>
    <pivotField showAll="0"/>
    <pivotField showAll="0">
      <items count="5">
        <item x="1"/>
        <item x="3"/>
        <item x="0"/>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Fields count="1">
    <field x="3"/>
  </colFields>
  <colItems count="5">
    <i>
      <x/>
    </i>
    <i>
      <x v="1"/>
    </i>
    <i>
      <x v="2"/>
    </i>
    <i>
      <x v="3"/>
    </i>
    <i t="grand">
      <x/>
    </i>
  </colItems>
  <dataFields count="1">
    <dataField name="Sum of LineRevenue"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23658F24-DBEC-40EF-BECF-0AC578C5622B}" autoFormatId="16" applyNumberFormats="0" applyBorderFormats="0" applyFontFormats="0" applyPatternFormats="0" applyAlignmentFormats="0" applyWidthHeightFormats="0">
  <queryTableRefresh nextId="18">
    <queryTableFields count="17">
      <queryTableField id="1" name="OrderID" tableColumnId="1"/>
      <queryTableField id="2" name="OrderDate" tableColumnId="2"/>
      <queryTableField id="3" name="Year" tableColumnId="3"/>
      <queryTableField id="4" name="Quarter" tableColumnId="4"/>
      <queryTableField id="5" name="MonthNum" tableColumnId="5"/>
      <queryTableField id="6" name="CustomerID" tableColumnId="6"/>
      <queryTableField id="7" name="Name" tableColumnId="7"/>
      <queryTableField id="8" name="Segment" tableColumnId="8"/>
      <queryTableField id="9" name="Country" tableColumnId="9"/>
      <queryTableField id="10" name="Regions" tableColumnId="10"/>
      <queryTableField id="11" name="Product" tableColumnId="11"/>
      <queryTableField id="12" name="Quantity" tableColumnId="12"/>
      <queryTableField id="13" name="UnitPrice" tableColumnId="13"/>
      <queryTableField id="14" name="LineRevenue" tableColumnId="14"/>
      <queryTableField id="15" name="OrderSize" tableColumnId="15"/>
      <queryTableField id="16" name="Channel" tableColumnId="16"/>
      <queryTableField id="17" name="Status"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B317F45-F876-4FB7-A6FD-077094121842}" sourceName="Segment">
  <pivotTables>
    <pivotTable tabId="8" name="PivotTable2"/>
    <pivotTable tabId="8" name="PivotTable6"/>
    <pivotTable tabId="8" name="PivotTable7"/>
    <pivotTable tabId="8" name="PivotTable8"/>
    <pivotTable tabId="8" name="PivotTable9"/>
    <pivotTable tabId="8" name="PivotTable3"/>
    <pivotTable tabId="8" name="PivotTable13"/>
    <pivotTable tabId="8" name="PivotTable14"/>
  </pivotTables>
  <data>
    <tabular pivotCacheId="563780633">
      <items count="6">
        <i x="1" s="1"/>
        <i x="2" s="1"/>
        <i x="0" s="1"/>
        <i x="3" s="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 xr10:uid="{23A47860-3F1C-4914-8C01-3D890C471F50}" sourceName="Regions">
  <pivotTables>
    <pivotTable tabId="8" name="PivotTable2"/>
    <pivotTable tabId="8" name="PivotTable6"/>
    <pivotTable tabId="8" name="PivotTable7"/>
    <pivotTable tabId="8" name="PivotTable8"/>
    <pivotTable tabId="8" name="PivotTable9"/>
    <pivotTable tabId="8" name="PivotTable3"/>
    <pivotTable tabId="8" name="PivotTable13"/>
    <pivotTable tabId="8" name="PivotTable14"/>
  </pivotTables>
  <data>
    <tabular pivotCacheId="563780633">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C39EC68-CF5E-4379-9B06-988C935204FF}" sourceName="Channel">
  <pivotTables>
    <pivotTable tabId="8" name="PivotTable2"/>
    <pivotTable tabId="8" name="PivotTable6"/>
    <pivotTable tabId="8" name="PivotTable7"/>
    <pivotTable tabId="8" name="PivotTable8"/>
    <pivotTable tabId="8" name="PivotTable9"/>
    <pivotTable tabId="8" name="PivotTable3"/>
    <pivotTable tabId="8" name="PivotTable13"/>
    <pivotTable tabId="8" name="PivotTable14"/>
  </pivotTables>
  <data>
    <tabular pivotCacheId="563780633">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EF04EF7-B1D7-48E6-ACE4-8CA3E8922616}" cache="Slicer_Segment" caption="Segment" rowHeight="247650"/>
  <slicer name="Segment 2" xr10:uid="{06470CA1-5028-4567-8BEA-714610EA22CB}" cache="Slicer_Segment" caption="Segment" rowHeight="247650"/>
  <slicer name="Segment 3" xr10:uid="{19E981EA-51E9-4B72-A07D-8AB5E7B62AD4}" cache="Slicer_Segment" caption="Segment" rowHeight="247650"/>
  <slicer name="Regions 1" xr10:uid="{198C6495-B496-4D59-BC49-4605F4520C3F}" cache="Slicer_Regions" caption="Regions" rowHeight="247650"/>
  <slicer name="Regions 2" xr10:uid="{EAA37412-7562-42E4-A5AF-B7D6F63F519C}" cache="Slicer_Regions" caption="Regions" rowHeight="247650"/>
  <slicer name="Regions 3" xr10:uid="{88DFF7D4-51D4-4D16-BA09-DAE1639C1216}" cache="Slicer_Regions" caption="Regions" rowHeight="247650"/>
  <slicer name="Channel 1" xr10:uid="{4FC459B0-C1CE-42E0-88D3-3B11D0E23C51}" cache="Slicer_Channel" caption="Channel" rowHeight="247650"/>
  <slicer name="Channel 2" xr10:uid="{41CFD3E6-6F8B-464A-84C8-ADE6B2750B4D}" cache="Slicer_Channel" caption="Channel" rowHeight="247650"/>
  <slicer name="Channel 3" xr10:uid="{D77B5FAA-B36E-410D-8905-466EA333A554}" cache="Slicer_Channel" caption="Channel"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FB26E48-578A-4EDF-9D1C-F3260AFB8FBF}" cache="Slicer_Segment" caption="Segment" rowHeight="247650"/>
  <slicer name="Regions" xr10:uid="{4CD4126A-ECC4-4800-ACC1-2A6479A839E8}" cache="Slicer_Regions" caption="Regions" rowHeight="247650"/>
  <slicer name="Channel" xr10:uid="{2244AD4F-81F7-46A9-BC56-C01EFD990AA8}" cache="Slicer_Channel" caption="Channel"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14A58D-7C85-40F5-9FF7-0A8CD150B783}" name="Ranks" displayName="Ranks" ref="G1:H5" totalsRowShown="0">
  <autoFilter ref="G1:H5" xr:uid="{DF14A58D-7C85-40F5-9FF7-0A8CD150B783}"/>
  <tableColumns count="2">
    <tableColumn id="1" xr3:uid="{A99B10EE-BEB4-42A8-AEF2-F978813E0A51}" name="Threshold"/>
    <tableColumn id="2" xr3:uid="{EEAB4A69-304F-41E8-80FE-FBB7C815C8CF}" name="Tier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2BBB37-93E4-4844-AA2E-73A5F5A43737}" name="FactSales" displayName="FactSales" ref="A1:Q1167" tableType="queryTable" totalsRowShown="0">
  <autoFilter ref="A1:Q1167" xr:uid="{762BBB37-93E4-4844-AA2E-73A5F5A43737}">
    <filterColumn colId="3">
      <filters>
        <filter val="1"/>
      </filters>
    </filterColumn>
  </autoFilter>
  <tableColumns count="17">
    <tableColumn id="1" xr3:uid="{ED21032E-8527-4B44-9B2A-6C48842F8555}" uniqueName="1" name="OrderID" queryTableFieldId="1"/>
    <tableColumn id="2" xr3:uid="{A57E1041-E253-470A-9487-3A8297D09243}" uniqueName="2" name="OrderDate" queryTableFieldId="2" dataDxfId="7"/>
    <tableColumn id="3" xr3:uid="{A10BC342-40F6-4F09-AFE6-B9E690FF5C33}" uniqueName="3" name="Year" queryTableFieldId="3"/>
    <tableColumn id="4" xr3:uid="{B5593944-AE76-4F3E-A4AE-CE33E25B6033}" uniqueName="4" name="Quarter" queryTableFieldId="4"/>
    <tableColumn id="5" xr3:uid="{EC2EEF15-7FDA-400C-A4B1-30B601B0ECDD}" uniqueName="5" name="MonthNum" queryTableFieldId="5"/>
    <tableColumn id="6" xr3:uid="{AA128068-62E6-4EDB-BE92-09DC943475B1}" uniqueName="6" name="CustomerID" queryTableFieldId="6"/>
    <tableColumn id="7" xr3:uid="{6FE54AB6-984D-4775-83D5-5DCCF407569C}" uniqueName="7" name="Name" queryTableFieldId="7" dataDxfId="6"/>
    <tableColumn id="8" xr3:uid="{DCF735A4-84BA-4ABC-A8D8-A25CECF6841A}" uniqueName="8" name="Segment" queryTableFieldId="8" dataDxfId="5"/>
    <tableColumn id="9" xr3:uid="{D38468C6-0ED5-4B4C-8D42-FDC9C0CCA0FC}" uniqueName="9" name="Country" queryTableFieldId="9" dataDxfId="4"/>
    <tableColumn id="10" xr3:uid="{0B553D76-5026-4ACB-A2F4-DE65F9DA6D3E}" uniqueName="10" name="Regions" queryTableFieldId="10" dataDxfId="3"/>
    <tableColumn id="11" xr3:uid="{94CBF393-7118-445E-91E4-E714966FBE0D}" uniqueName="11" name="Product" queryTableFieldId="11" dataDxfId="2"/>
    <tableColumn id="12" xr3:uid="{043569F3-59A2-4FAF-B584-FDC17BC3FB8A}" uniqueName="12" name="Quantity" queryTableFieldId="12"/>
    <tableColumn id="13" xr3:uid="{199CE39A-8BE3-473F-99E0-B83838C3C1C0}" uniqueName="13" name="UnitPrice" queryTableFieldId="13"/>
    <tableColumn id="14" xr3:uid="{34257BBC-22B8-4321-BFCF-018DE1CB92FE}" uniqueName="14" name="LineRevenue" queryTableFieldId="14"/>
    <tableColumn id="15" xr3:uid="{94D9B9F9-D46B-420C-AC16-6B1F2D545673}" uniqueName="15" name="OrderSize" queryTableFieldId="15"/>
    <tableColumn id="16" xr3:uid="{6E7E67E6-CC1D-4A97-AD35-A86521EE40E7}" uniqueName="16" name="Channel" queryTableFieldId="16" dataDxfId="1"/>
    <tableColumn id="17" xr3:uid="{6BE89EB9-DABB-42E5-9FAC-3E7E2C13A2EA}" uniqueName="17" name="Status"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2D7C0-A992-47C8-B7A2-43C3EB72D89C}">
  <dimension ref="A2:K72"/>
  <sheetViews>
    <sheetView showGridLines="0" tabSelected="1" topLeftCell="A37" zoomScale="81" workbookViewId="0">
      <selection activeCell="H66" sqref="H66"/>
    </sheetView>
  </sheetViews>
  <sheetFormatPr defaultRowHeight="14.4" x14ac:dyDescent="0.3"/>
  <cols>
    <col min="1" max="1" width="2.77734375" style="9" customWidth="1"/>
    <col min="2" max="2" width="26.6640625" style="9" customWidth="1"/>
    <col min="3" max="12" width="18.77734375" style="9" customWidth="1"/>
    <col min="13" max="16384" width="8.88671875" style="9"/>
  </cols>
  <sheetData>
    <row r="2" spans="2:10" ht="28.8" x14ac:dyDescent="0.55000000000000004">
      <c r="B2" s="8" t="s">
        <v>162</v>
      </c>
    </row>
    <row r="3" spans="2:10" x14ac:dyDescent="0.3">
      <c r="B3" s="10" t="s">
        <v>163</v>
      </c>
    </row>
    <row r="5" spans="2:10" ht="21" x14ac:dyDescent="0.4">
      <c r="B5" s="11" t="s">
        <v>164</v>
      </c>
      <c r="C5" s="11"/>
      <c r="D5" s="11" t="s">
        <v>165</v>
      </c>
      <c r="E5" s="11"/>
      <c r="F5" s="11" t="s">
        <v>166</v>
      </c>
      <c r="G5" s="11"/>
      <c r="H5" s="11" t="s">
        <v>167</v>
      </c>
      <c r="I5" s="11"/>
      <c r="J5" s="11" t="s">
        <v>168</v>
      </c>
    </row>
    <row r="6" spans="2:10" ht="21" x14ac:dyDescent="0.4">
      <c r="B6" s="12">
        <f>GETPIVOTDATA("LineRevenue",Pivots!$A$1,"Quarter",1)</f>
        <v>2032740.1800000002</v>
      </c>
      <c r="C6" s="11"/>
      <c r="D6" s="11">
        <f>GETPIVOTDATA("Quantity",Pivots!$O$1,"Quarter",1)</f>
        <v>280</v>
      </c>
      <c r="E6" s="11"/>
      <c r="F6" s="11">
        <f>GETPIVOTDATA("Quantity",Pivots!$H$1,"Quarter",1)</f>
        <v>2003</v>
      </c>
      <c r="G6" s="11"/>
      <c r="H6" s="13">
        <f>B6/D6</f>
        <v>7259.7863571428579</v>
      </c>
      <c r="I6" s="11"/>
      <c r="J6" s="11" cm="1">
        <f t="array" ref="J6">COUNTA(_xlfn.UNIQUE(_xlfn._xlws.FILTER(FactSales!F2:F100000,(FactSales!D2:D100000=1)*(FactSales!F2:F100000&lt;&gt;""))))</f>
        <v>77</v>
      </c>
    </row>
    <row r="23" spans="2:10" ht="17.399999999999999" customHeight="1" x14ac:dyDescent="0.55000000000000004">
      <c r="B23" s="8"/>
    </row>
    <row r="24" spans="2:10" x14ac:dyDescent="0.3">
      <c r="C24" s="9" t="s">
        <v>174</v>
      </c>
      <c r="D24" s="9" t="s">
        <v>175</v>
      </c>
      <c r="E24" s="9" t="s">
        <v>170</v>
      </c>
    </row>
    <row r="25" spans="2:10" x14ac:dyDescent="0.3">
      <c r="B25" s="14" t="s">
        <v>97</v>
      </c>
      <c r="C25" s="15">
        <f>IFERROR(GETPIVOTDATA("Sum of LineRevenue",Pivots!$H$9,"Quarter",1,"Product","4K Monitor"),0)</f>
        <v>217733.05000000005</v>
      </c>
      <c r="D25" s="9">
        <f>IFERROR(GETPIVOTDATA("Sum of Quantity",Pivots!$H$9,"Quarter",1,"Product","4K Monitor"),0)</f>
        <v>182</v>
      </c>
      <c r="E25" s="16">
        <f>C25/SUM(C$25:C$34)</f>
        <v>0.14367830199793921</v>
      </c>
    </row>
    <row r="26" spans="2:10" x14ac:dyDescent="0.3">
      <c r="B26" s="14" t="s">
        <v>51</v>
      </c>
      <c r="C26" s="15">
        <f>IFERROR(GETPIVOTDATA("Sum of LineRevenue",Pivots!$H$9,"Quarter",1,"Product","USB-C Hub"),0)</f>
        <v>174342.16999999998</v>
      </c>
      <c r="D26" s="9">
        <f>IFERROR(GETPIVOTDATA("Sum of Quantity",Pivots!$H$9,"Quarter",1,"Product","USB-C Hub"),0)</f>
        <v>152</v>
      </c>
      <c r="E26" s="16">
        <f t="shared" ref="E26:E34" si="0">C26/SUM(C$25:C$34)</f>
        <v>0.11504540515202469</v>
      </c>
    </row>
    <row r="27" spans="2:10" x14ac:dyDescent="0.3">
      <c r="B27" s="14" t="s">
        <v>39</v>
      </c>
      <c r="C27" s="15">
        <f>IFERROR(GETPIVOTDATA("Sum of LineRevenue",Pivots!$H$9,"Quarter",1,"Product","Standing Desk"),0)</f>
        <v>153580.96999999997</v>
      </c>
      <c r="D27" s="9">
        <f>IFERROR(GETPIVOTDATA("Sum of Quantity",Pivots!$H$9,"Quarter",1,"Product","Standing Desk"),0)</f>
        <v>136</v>
      </c>
      <c r="E27" s="16">
        <f t="shared" si="0"/>
        <v>0.10134544566751089</v>
      </c>
      <c r="F27" s="17"/>
      <c r="H27" s="18"/>
    </row>
    <row r="28" spans="2:10" x14ac:dyDescent="0.3">
      <c r="B28" s="14" t="s">
        <v>52</v>
      </c>
      <c r="C28" s="15">
        <f>IFERROR(GETPIVOTDATA("Sum of LineRevenue",Pivots!$H$9,"Quarter",1,"Product","Wireless Mouse"),0)</f>
        <v>149454.24000000002</v>
      </c>
      <c r="D28" s="9">
        <f>IFERROR(GETPIVOTDATA("Sum of Quantity",Pivots!$H$9,"Quarter",1,"Product","Wireless Mouse"),0)</f>
        <v>139</v>
      </c>
      <c r="E28" s="16">
        <f t="shared" si="0"/>
        <v>9.8622287381692778E-2</v>
      </c>
      <c r="F28" s="10"/>
      <c r="G28" s="10"/>
      <c r="H28" s="10"/>
      <c r="I28" s="10"/>
      <c r="J28" s="10"/>
    </row>
    <row r="29" spans="2:10" x14ac:dyDescent="0.3">
      <c r="B29" s="14" t="s">
        <v>21</v>
      </c>
      <c r="C29" s="15">
        <f>IFERROR(GETPIVOTDATA("Sum of LineRevenue",Pivots!$H$9,"Quarter",1,"Product","Tablet"),0)</f>
        <v>146178.71</v>
      </c>
      <c r="D29" s="9">
        <f>IFERROR(GETPIVOTDATA("Sum of Quantity",Pivots!$H$9,"Quarter",1,"Product","Tablet"),0)</f>
        <v>138</v>
      </c>
      <c r="E29" s="16">
        <f t="shared" si="0"/>
        <v>9.6460821363817617E-2</v>
      </c>
      <c r="F29" s="19"/>
      <c r="G29" s="19"/>
      <c r="H29" s="19"/>
      <c r="I29" s="19"/>
      <c r="J29" s="19"/>
    </row>
    <row r="30" spans="2:10" x14ac:dyDescent="0.3">
      <c r="B30" s="14" t="s">
        <v>58</v>
      </c>
      <c r="C30" s="15">
        <f>IFERROR(GETPIVOTDATA("Sum of LineRevenue",Pivots!$H$9,"Quarter",1,"Product","Docking Station"),0)</f>
        <v>144493.43999999997</v>
      </c>
      <c r="D30" s="9">
        <f>IFERROR(GETPIVOTDATA("Sum of Quantity",Pivots!$H$9,"Quarter",1,"Product","Docking Station"),0)</f>
        <v>122</v>
      </c>
      <c r="E30" s="16">
        <f t="shared" si="0"/>
        <v>9.5348740620870828E-2</v>
      </c>
    </row>
    <row r="31" spans="2:10" x14ac:dyDescent="0.3">
      <c r="B31" s="14" t="s">
        <v>50</v>
      </c>
      <c r="C31" s="15">
        <f>IFERROR(GETPIVOTDATA("Sum of LineRevenue",Pivots!$H$9,"Quarter",1,"Product","Power Bank"),0)</f>
        <v>137103.38999999998</v>
      </c>
      <c r="D31" s="9">
        <f>IFERROR(GETPIVOTDATA("Sum of Quantity",Pivots!$H$9,"Quarter",1,"Product","Power Bank"),0)</f>
        <v>171</v>
      </c>
      <c r="E31" s="16">
        <f t="shared" si="0"/>
        <v>9.0472173486575561E-2</v>
      </c>
    </row>
    <row r="32" spans="2:10" x14ac:dyDescent="0.3">
      <c r="B32" s="14" t="s">
        <v>42</v>
      </c>
      <c r="C32" s="15">
        <f>IFERROR(GETPIVOTDATA("Sum of LineRevenue",Pivots!$H$9,"Quarter",1,"Product","Mechanical Keyboard"),0)</f>
        <v>136095.41999999998</v>
      </c>
      <c r="D32" s="9">
        <f>IFERROR(GETPIVOTDATA("Sum of Quantity",Pivots!$H$9,"Quarter",1,"Product","Mechanical Keyboard"),0)</f>
        <v>144</v>
      </c>
      <c r="E32" s="16">
        <f t="shared" si="0"/>
        <v>8.9807031386812286E-2</v>
      </c>
    </row>
    <row r="33" spans="1:11" x14ac:dyDescent="0.3">
      <c r="B33" s="14" t="s">
        <v>59</v>
      </c>
      <c r="C33" s="15">
        <f>IFERROR(GETPIVOTDATA("Sum of LineRevenue",Pivots!$H$9,"Quarter",1,"Product","Laptop Pro"),0)</f>
        <v>132025.19999999998</v>
      </c>
      <c r="D33" s="9">
        <f>IFERROR(GETPIVOTDATA("Sum of Quantity",Pivots!$H$9,"Quarter",1,"Product","Laptop Pro"),0)</f>
        <v>134</v>
      </c>
      <c r="E33" s="16">
        <f t="shared" si="0"/>
        <v>8.7121163079919725E-2</v>
      </c>
    </row>
    <row r="34" spans="1:11" x14ac:dyDescent="0.3">
      <c r="B34" s="14" t="s">
        <v>35</v>
      </c>
      <c r="C34" s="15">
        <f>IFERROR(GETPIVOTDATA("Sum of LineRevenue",Pivots!$H$9,"Quarter",1,"Product","Cable Kit"),0)</f>
        <v>124413.94999999998</v>
      </c>
      <c r="D34" s="9">
        <f>IFERROR(GETPIVOTDATA("Sum of Quantity",Pivots!$H$9,"Quarter",1,"Product","Cable Kit"),0)</f>
        <v>142</v>
      </c>
      <c r="E34" s="16">
        <f t="shared" si="0"/>
        <v>8.2098629862836628E-2</v>
      </c>
    </row>
    <row r="38" spans="1:11" ht="28.8" x14ac:dyDescent="0.55000000000000004">
      <c r="A38" s="20"/>
      <c r="B38" s="21" t="s">
        <v>169</v>
      </c>
      <c r="C38" s="20"/>
      <c r="D38" s="20"/>
      <c r="E38" s="20"/>
      <c r="F38" s="20"/>
      <c r="G38" s="20"/>
      <c r="H38" s="20"/>
      <c r="I38" s="20"/>
      <c r="J38" s="20"/>
      <c r="K38" s="20"/>
    </row>
    <row r="39" spans="1:11" x14ac:dyDescent="0.3">
      <c r="A39" s="20"/>
      <c r="B39" s="22" t="s">
        <v>163</v>
      </c>
      <c r="C39" s="20"/>
      <c r="D39" s="20"/>
      <c r="E39" s="20"/>
      <c r="F39" s="20"/>
      <c r="G39" s="20"/>
      <c r="H39" s="20"/>
      <c r="I39" s="20"/>
      <c r="J39" s="20"/>
      <c r="K39" s="20"/>
    </row>
    <row r="40" spans="1:11" x14ac:dyDescent="0.3">
      <c r="A40" s="20"/>
      <c r="B40" s="20"/>
      <c r="C40" s="20"/>
      <c r="D40" s="20"/>
      <c r="E40" s="20"/>
      <c r="F40" s="20"/>
      <c r="G40" s="20"/>
      <c r="H40" s="20"/>
      <c r="I40" s="20"/>
      <c r="J40" s="20"/>
      <c r="K40" s="20"/>
    </row>
    <row r="41" spans="1:11" ht="21" x14ac:dyDescent="0.4">
      <c r="A41" s="20"/>
      <c r="B41" s="23" t="s">
        <v>164</v>
      </c>
      <c r="C41" s="23"/>
      <c r="D41" s="23" t="s">
        <v>165</v>
      </c>
      <c r="E41" s="23"/>
      <c r="F41" s="23" t="s">
        <v>166</v>
      </c>
      <c r="G41" s="23"/>
      <c r="H41" s="23" t="s">
        <v>167</v>
      </c>
      <c r="I41" s="23"/>
      <c r="J41" s="23" t="s">
        <v>168</v>
      </c>
      <c r="K41" s="20"/>
    </row>
    <row r="42" spans="1:11" ht="21" x14ac:dyDescent="0.4">
      <c r="A42" s="20"/>
      <c r="B42" s="24">
        <f>GETPIVOTDATA("LineRevenue",Pivots!$A$1,"Quarter",2)</f>
        <v>2286079.84</v>
      </c>
      <c r="C42" s="23"/>
      <c r="D42" s="25">
        <f>GETPIVOTDATA("Quantity",Pivots!$O$1,"Quarter",2)</f>
        <v>302</v>
      </c>
      <c r="E42" s="23"/>
      <c r="F42" s="25">
        <f>GETPIVOTDATA("Quantity",Pivots!$H$1,"Quarter",2)</f>
        <v>2261</v>
      </c>
      <c r="G42" s="23"/>
      <c r="H42" s="26">
        <f>B42/D42</f>
        <v>7569.800794701986</v>
      </c>
      <c r="I42" s="23"/>
      <c r="J42" s="25" cm="1">
        <f t="array" ref="J42">COUNTA(_xlfn.UNIQUE(_xlfn._xlws.FILTER(FactSales!F:F,(FactSales!D:D=2)*(FactSales!F:F&lt;&gt;""))))</f>
        <v>80</v>
      </c>
      <c r="K42" s="20"/>
    </row>
    <row r="43" spans="1:11" ht="15.6" customHeight="1" x14ac:dyDescent="0.4">
      <c r="A43" s="20"/>
      <c r="B43" s="27" t="s">
        <v>176</v>
      </c>
      <c r="C43" s="23"/>
      <c r="D43" s="23"/>
      <c r="E43" s="23"/>
      <c r="F43" s="23"/>
      <c r="G43" s="23"/>
      <c r="H43" s="28"/>
      <c r="I43" s="23"/>
      <c r="J43" s="23"/>
      <c r="K43" s="20"/>
    </row>
    <row r="44" spans="1:11" ht="21" x14ac:dyDescent="0.4">
      <c r="A44" s="20"/>
      <c r="B44" s="29">
        <f>(B42-B6)/B6</f>
        <v>0.12462963171220419</v>
      </c>
      <c r="C44" s="29"/>
      <c r="D44" s="29">
        <f t="shared" ref="C44:J44" si="1">(D42-D6)/D6</f>
        <v>7.857142857142857E-2</v>
      </c>
      <c r="E44" s="29"/>
      <c r="F44" s="29">
        <f t="shared" si="1"/>
        <v>0.12880678981527707</v>
      </c>
      <c r="G44" s="29"/>
      <c r="H44" s="29">
        <f t="shared" si="1"/>
        <v>4.2702969799394551E-2</v>
      </c>
      <c r="I44" s="29"/>
      <c r="J44" s="29">
        <f t="shared" si="1"/>
        <v>3.896103896103896E-2</v>
      </c>
      <c r="K44" s="20"/>
    </row>
    <row r="45" spans="1:11" x14ac:dyDescent="0.3">
      <c r="A45" s="20"/>
      <c r="B45" s="20"/>
      <c r="C45" s="20"/>
      <c r="D45" s="20"/>
      <c r="E45" s="20"/>
      <c r="F45" s="20"/>
      <c r="G45" s="20"/>
      <c r="H45" s="20"/>
      <c r="I45" s="20"/>
      <c r="J45" s="20"/>
      <c r="K45" s="20"/>
    </row>
    <row r="46" spans="1:11" x14ac:dyDescent="0.3">
      <c r="A46" s="20"/>
      <c r="B46" s="20"/>
      <c r="C46" s="20"/>
      <c r="D46" s="20"/>
      <c r="E46" s="20"/>
      <c r="F46" s="20"/>
      <c r="G46" s="20"/>
      <c r="H46" s="20"/>
      <c r="I46" s="20"/>
      <c r="J46" s="20"/>
      <c r="K46" s="20"/>
    </row>
    <row r="47" spans="1:11" x14ac:dyDescent="0.3">
      <c r="A47" s="20"/>
      <c r="B47" s="20"/>
      <c r="C47" s="20"/>
      <c r="D47" s="20"/>
      <c r="E47" s="20"/>
      <c r="F47" s="20"/>
      <c r="G47" s="20"/>
      <c r="H47" s="20"/>
      <c r="I47" s="20"/>
      <c r="J47" s="20"/>
      <c r="K47" s="20"/>
    </row>
    <row r="48" spans="1:11" x14ac:dyDescent="0.3">
      <c r="A48" s="20"/>
      <c r="B48" s="20"/>
      <c r="C48" s="20"/>
      <c r="D48" s="20"/>
      <c r="E48" s="20"/>
      <c r="F48" s="20"/>
      <c r="G48" s="20"/>
      <c r="H48" s="20"/>
      <c r="I48" s="20"/>
      <c r="J48" s="20"/>
      <c r="K48" s="20"/>
    </row>
    <row r="49" spans="1:11" x14ac:dyDescent="0.3">
      <c r="A49" s="20"/>
      <c r="B49" s="20"/>
      <c r="C49" s="20"/>
      <c r="D49" s="20"/>
      <c r="E49" s="20"/>
      <c r="F49" s="20"/>
      <c r="G49" s="20"/>
      <c r="H49" s="20"/>
      <c r="I49" s="20"/>
      <c r="J49" s="20"/>
      <c r="K49" s="20"/>
    </row>
    <row r="50" spans="1:11" x14ac:dyDescent="0.3">
      <c r="A50" s="20"/>
      <c r="B50" s="20"/>
      <c r="C50" s="20"/>
      <c r="D50" s="20"/>
      <c r="E50" s="20"/>
      <c r="F50" s="20"/>
      <c r="G50" s="20"/>
      <c r="H50" s="20"/>
      <c r="I50" s="20"/>
      <c r="J50" s="20"/>
      <c r="K50" s="20"/>
    </row>
    <row r="51" spans="1:11" x14ac:dyDescent="0.3">
      <c r="A51" s="20"/>
      <c r="B51" s="20"/>
      <c r="C51" s="20"/>
      <c r="D51" s="20"/>
      <c r="E51" s="20"/>
      <c r="F51" s="20"/>
      <c r="G51" s="20"/>
      <c r="H51" s="20"/>
      <c r="I51" s="20"/>
      <c r="J51" s="20"/>
      <c r="K51" s="20"/>
    </row>
    <row r="52" spans="1:11" x14ac:dyDescent="0.3">
      <c r="A52" s="20"/>
      <c r="B52" s="20"/>
      <c r="C52" s="20"/>
      <c r="D52" s="20"/>
      <c r="E52" s="20"/>
      <c r="F52" s="20"/>
      <c r="G52" s="20"/>
      <c r="H52" s="20"/>
      <c r="I52" s="20"/>
      <c r="J52" s="20"/>
      <c r="K52" s="20"/>
    </row>
    <row r="53" spans="1:11" x14ac:dyDescent="0.3">
      <c r="A53" s="20"/>
      <c r="B53" s="20"/>
      <c r="C53" s="20"/>
      <c r="D53" s="20"/>
      <c r="E53" s="20"/>
      <c r="F53" s="20"/>
      <c r="G53" s="20"/>
      <c r="H53" s="20"/>
      <c r="I53" s="20"/>
      <c r="J53" s="20"/>
      <c r="K53" s="20"/>
    </row>
    <row r="54" spans="1:11" x14ac:dyDescent="0.3">
      <c r="A54" s="20"/>
      <c r="B54" s="20"/>
      <c r="C54" s="20"/>
      <c r="D54" s="20"/>
      <c r="E54" s="20"/>
      <c r="F54" s="20"/>
      <c r="G54" s="20"/>
      <c r="H54" s="20"/>
      <c r="I54" s="20"/>
      <c r="J54" s="20"/>
      <c r="K54" s="20"/>
    </row>
    <row r="55" spans="1:11" x14ac:dyDescent="0.3">
      <c r="A55" s="20"/>
      <c r="B55" s="20"/>
      <c r="C55" s="20"/>
      <c r="D55" s="20"/>
      <c r="E55" s="20"/>
      <c r="F55" s="20"/>
      <c r="G55" s="20"/>
      <c r="H55" s="20"/>
      <c r="I55" s="20"/>
      <c r="J55" s="20"/>
      <c r="K55" s="20"/>
    </row>
    <row r="56" spans="1:11" x14ac:dyDescent="0.3">
      <c r="A56" s="20"/>
      <c r="B56" s="20"/>
      <c r="C56" s="20"/>
      <c r="D56" s="20"/>
      <c r="E56" s="20"/>
      <c r="F56" s="20"/>
      <c r="G56" s="20"/>
      <c r="H56" s="20"/>
      <c r="I56" s="20"/>
      <c r="J56" s="20"/>
      <c r="K56" s="20"/>
    </row>
    <row r="57" spans="1:11" x14ac:dyDescent="0.3">
      <c r="A57" s="20"/>
      <c r="B57" s="20"/>
      <c r="C57" s="20"/>
      <c r="D57" s="20"/>
      <c r="E57" s="20"/>
      <c r="F57" s="20"/>
      <c r="G57" s="20"/>
      <c r="H57" s="20"/>
      <c r="I57" s="20"/>
      <c r="J57" s="20"/>
      <c r="K57" s="20"/>
    </row>
    <row r="58" spans="1:11" x14ac:dyDescent="0.3">
      <c r="A58" s="20"/>
      <c r="B58" s="20"/>
      <c r="C58" s="20"/>
      <c r="D58" s="20"/>
      <c r="E58" s="20"/>
      <c r="F58" s="20"/>
      <c r="G58" s="20"/>
      <c r="H58" s="20"/>
      <c r="I58" s="20"/>
      <c r="J58" s="20"/>
      <c r="K58" s="20"/>
    </row>
    <row r="59" spans="1:11" x14ac:dyDescent="0.3">
      <c r="A59" s="20"/>
      <c r="B59" s="20"/>
      <c r="C59" s="20"/>
      <c r="D59" s="20"/>
      <c r="E59" s="20"/>
      <c r="F59" s="20"/>
      <c r="G59" s="20"/>
      <c r="H59" s="20"/>
      <c r="I59" s="20"/>
      <c r="J59" s="20"/>
      <c r="K59" s="20"/>
    </row>
    <row r="60" spans="1:11" x14ac:dyDescent="0.3">
      <c r="A60" s="20"/>
      <c r="B60" s="20"/>
      <c r="C60" s="20"/>
      <c r="D60" s="20"/>
      <c r="E60" s="20"/>
      <c r="F60" s="20"/>
      <c r="G60" s="20"/>
      <c r="H60" s="20"/>
      <c r="I60" s="20"/>
      <c r="J60" s="20"/>
      <c r="K60" s="20"/>
    </row>
    <row r="61" spans="1:11" ht="28.8" x14ac:dyDescent="0.55000000000000004">
      <c r="A61" s="20"/>
      <c r="B61" s="21"/>
      <c r="C61" s="20"/>
      <c r="D61" s="20"/>
      <c r="E61" s="20"/>
      <c r="F61" s="20"/>
      <c r="G61" s="20"/>
      <c r="H61" s="20"/>
      <c r="I61" s="20"/>
      <c r="J61" s="20"/>
      <c r="K61" s="20"/>
    </row>
    <row r="62" spans="1:11" x14ac:dyDescent="0.3">
      <c r="A62" s="20"/>
      <c r="B62" s="20"/>
      <c r="C62" s="20" t="s">
        <v>174</v>
      </c>
      <c r="D62" s="20" t="s">
        <v>175</v>
      </c>
      <c r="E62" s="20" t="s">
        <v>170</v>
      </c>
      <c r="F62" s="20"/>
      <c r="G62" s="20"/>
      <c r="H62" s="20"/>
      <c r="I62" s="20"/>
      <c r="J62" s="20"/>
      <c r="K62" s="20"/>
    </row>
    <row r="63" spans="1:11" x14ac:dyDescent="0.3">
      <c r="A63" s="20"/>
      <c r="B63" s="30" t="s">
        <v>71</v>
      </c>
      <c r="C63" s="31">
        <f>IFERROR(GETPIVOTDATA("Sum of LineRevenue",Pivots!$N$9,"Quarter",2,"Product","Office Chair"),0)</f>
        <v>244372.50000000006</v>
      </c>
      <c r="D63" s="32">
        <f>IFERROR(GETPIVOTDATA("Sum of Quantity",Pivots!$N$9,"Quarter",2,"Product","Office Chair"),0)</f>
        <v>214</v>
      </c>
      <c r="E63" s="33">
        <f>C63/SUM(C$25:C$34)</f>
        <v>0.16125721774894256</v>
      </c>
      <c r="F63" s="20"/>
      <c r="G63" s="20"/>
      <c r="H63" s="20"/>
      <c r="I63" s="20"/>
      <c r="J63" s="20"/>
      <c r="K63" s="20"/>
    </row>
    <row r="64" spans="1:11" x14ac:dyDescent="0.3">
      <c r="A64" s="20"/>
      <c r="B64" s="30" t="s">
        <v>39</v>
      </c>
      <c r="C64" s="31">
        <f>IFERROR(GETPIVOTDATA("Sum of LineRevenue",Pivots!$N$9,"Quarter",2,"Product","Standing Desk"),0)</f>
        <v>198469.73</v>
      </c>
      <c r="D64" s="32">
        <f>IFERROR(GETPIVOTDATA("Sum of Quantity",Pivots!$N$9,"Quarter",2,"Product","Standing Desk"),0)</f>
        <v>191</v>
      </c>
      <c r="E64" s="33">
        <f t="shared" ref="E64:E72" si="2">C64/SUM(C$25:C$34)</f>
        <v>0.13096676781218766</v>
      </c>
      <c r="F64" s="20"/>
      <c r="G64" s="20"/>
      <c r="H64" s="20"/>
      <c r="I64" s="20"/>
      <c r="J64" s="20"/>
      <c r="K64" s="20"/>
    </row>
    <row r="65" spans="1:11" x14ac:dyDescent="0.3">
      <c r="A65" s="20"/>
      <c r="B65" s="30" t="s">
        <v>70</v>
      </c>
      <c r="C65" s="31">
        <f>IFERROR(GETPIVOTDATA("Sum of LineRevenue",Pivots!$N$9,"Quarter",2,"Product","Webcam HD"),0)</f>
        <v>175600.53</v>
      </c>
      <c r="D65" s="32">
        <f>IFERROR(GETPIVOTDATA("Sum of Quantity",Pivots!$N$9,"Quarter",2,"Product","Webcam HD"),0)</f>
        <v>150</v>
      </c>
      <c r="E65" s="33">
        <f t="shared" si="2"/>
        <v>0.11587577531448798</v>
      </c>
      <c r="F65" s="34"/>
      <c r="G65" s="20"/>
      <c r="H65" s="35"/>
      <c r="I65" s="20"/>
      <c r="J65" s="20"/>
      <c r="K65" s="20"/>
    </row>
    <row r="66" spans="1:11" x14ac:dyDescent="0.3">
      <c r="A66" s="20"/>
      <c r="B66" s="30" t="s">
        <v>35</v>
      </c>
      <c r="C66" s="31">
        <f>IFERROR(GETPIVOTDATA("Sum of LineRevenue",Pivots!$N$9,"Quarter",2,"Product","Cable Kit"),0)</f>
        <v>172864.74999999997</v>
      </c>
      <c r="D66" s="32">
        <f>IFERROR(GETPIVOTDATA("Sum of Quantity",Pivots!$N$9,"Quarter",2,"Product","Cable Kit"),0)</f>
        <v>184</v>
      </c>
      <c r="E66" s="33">
        <f t="shared" si="2"/>
        <v>0.11407048105603744</v>
      </c>
      <c r="F66" s="22"/>
      <c r="G66" s="22"/>
      <c r="H66" s="22"/>
      <c r="I66" s="22"/>
      <c r="J66" s="22"/>
      <c r="K66" s="20"/>
    </row>
    <row r="67" spans="1:11" x14ac:dyDescent="0.3">
      <c r="A67" s="20"/>
      <c r="B67" s="30" t="s">
        <v>50</v>
      </c>
      <c r="C67" s="31">
        <f>IFERROR(GETPIVOTDATA("Sum of LineRevenue",Pivots!$N$9,"Quarter",2,"Product","Power Bank"),0)</f>
        <v>171465.89999999997</v>
      </c>
      <c r="D67" s="32">
        <f>IFERROR(GETPIVOTDATA("Sum of Quantity",Pivots!$N$9,"Quarter",2,"Product","Power Bank"),0)</f>
        <v>161</v>
      </c>
      <c r="E67" s="33">
        <f t="shared" si="2"/>
        <v>0.11314740395428453</v>
      </c>
      <c r="F67" s="36"/>
      <c r="G67" s="36"/>
      <c r="H67" s="36"/>
      <c r="I67" s="36"/>
      <c r="J67" s="36"/>
      <c r="K67" s="20"/>
    </row>
    <row r="68" spans="1:11" x14ac:dyDescent="0.3">
      <c r="A68" s="20"/>
      <c r="B68" s="30" t="s">
        <v>47</v>
      </c>
      <c r="C68" s="31">
        <f>IFERROR(GETPIVOTDATA("Sum of LineRevenue",Pivots!$N$9,"Quarter",2,"Product","Headset"),0)</f>
        <v>167087.38999999998</v>
      </c>
      <c r="D68" s="32">
        <f>IFERROR(GETPIVOTDATA("Sum of Quantity",Pivots!$N$9,"Quarter",2,"Product","Headset"),0)</f>
        <v>198</v>
      </c>
      <c r="E68" s="33">
        <f t="shared" si="2"/>
        <v>0.11025810036862772</v>
      </c>
      <c r="F68" s="20"/>
      <c r="G68" s="20"/>
      <c r="H68" s="20"/>
      <c r="I68" s="20"/>
      <c r="J68" s="20"/>
      <c r="K68" s="20"/>
    </row>
    <row r="69" spans="1:11" x14ac:dyDescent="0.3">
      <c r="A69" s="20"/>
      <c r="B69" s="30" t="s">
        <v>21</v>
      </c>
      <c r="C69" s="31">
        <f>IFERROR(GETPIVOTDATA("Sum of LineRevenue",Pivots!$N$9,"Quarter",2,"Product","Tablet"),0)</f>
        <v>160318.71000000002</v>
      </c>
      <c r="D69" s="32">
        <f>IFERROR(GETPIVOTDATA("Sum of Quantity",Pivots!$N$9,"Quarter",2,"Product","Tablet"),0)</f>
        <v>147</v>
      </c>
      <c r="E69" s="33">
        <f t="shared" si="2"/>
        <v>0.10579156463063386</v>
      </c>
      <c r="F69" s="20"/>
      <c r="G69" s="20"/>
      <c r="H69" s="20"/>
      <c r="I69" s="20"/>
      <c r="J69" s="20"/>
      <c r="K69" s="20"/>
    </row>
    <row r="70" spans="1:11" x14ac:dyDescent="0.3">
      <c r="A70" s="20"/>
      <c r="B70" s="30" t="s">
        <v>28</v>
      </c>
      <c r="C70" s="31">
        <f>IFERROR(GETPIVOTDATA("Sum of LineRevenue",Pivots!$N$9,"Quarter",2,"Product","Desk Lamp"),0)</f>
        <v>145372.47999999995</v>
      </c>
      <c r="D70" s="32">
        <f>IFERROR(GETPIVOTDATA("Sum of Quantity",Pivots!$N$9,"Quarter",2,"Product","Desk Lamp"),0)</f>
        <v>120</v>
      </c>
      <c r="E70" s="33">
        <f t="shared" si="2"/>
        <v>9.5928804026900669E-2</v>
      </c>
      <c r="F70" s="20"/>
      <c r="G70" s="20"/>
      <c r="H70" s="20"/>
      <c r="I70" s="20"/>
      <c r="J70" s="20"/>
      <c r="K70" s="20"/>
    </row>
    <row r="71" spans="1:11" x14ac:dyDescent="0.3">
      <c r="A71" s="20"/>
      <c r="B71" s="30" t="s">
        <v>52</v>
      </c>
      <c r="C71" s="31">
        <f>IFERROR(GETPIVOTDATA("Sum of LineRevenue",Pivots!$N$9,"Quarter",2,"Product","Wireless Mouse"),0)</f>
        <v>144578.51</v>
      </c>
      <c r="D71" s="32">
        <f>IFERROR(GETPIVOTDATA("Sum of Quantity",Pivots!$N$9,"Quarter",2,"Product","Wireless Mouse"),0)</f>
        <v>152</v>
      </c>
      <c r="E71" s="33">
        <f t="shared" si="2"/>
        <v>9.5404876853523474E-2</v>
      </c>
      <c r="F71" s="20"/>
      <c r="G71" s="20"/>
      <c r="H71" s="20"/>
      <c r="I71" s="20"/>
      <c r="J71" s="20"/>
      <c r="K71" s="20"/>
    </row>
    <row r="72" spans="1:11" x14ac:dyDescent="0.3">
      <c r="A72" s="20"/>
      <c r="B72" s="30" t="s">
        <v>59</v>
      </c>
      <c r="C72" s="31">
        <f>IFERROR(GETPIVOTDATA("Sum of LineRevenue",Pivots!$N$9,"Quarter",2,"Product","Laptop Pro"),0)</f>
        <v>129192.00999999998</v>
      </c>
      <c r="D72" s="32">
        <f>IFERROR(GETPIVOTDATA("Sum of Quantity",Pivots!$N$9,"Quarter",2,"Product","Laptop Pro"),0)</f>
        <v>130</v>
      </c>
      <c r="E72" s="33">
        <f t="shared" si="2"/>
        <v>8.525158963465021E-2</v>
      </c>
      <c r="F72" s="20"/>
      <c r="G72" s="20"/>
      <c r="H72" s="20"/>
      <c r="I72" s="20"/>
      <c r="J72" s="20"/>
      <c r="K72" s="20"/>
    </row>
  </sheetData>
  <sheetProtection sheet="1" objects="1" scenarios="1"/>
  <conditionalFormatting sqref="E25:E35">
    <cfRule type="dataBar" priority="9">
      <dataBar>
        <cfvo type="min"/>
        <cfvo type="max"/>
        <color rgb="FF638EC6"/>
      </dataBar>
      <extLst>
        <ext xmlns:x14="http://schemas.microsoft.com/office/spreadsheetml/2009/9/main" uri="{B025F937-C7B1-47D3-B67F-A62EFF666E3E}">
          <x14:id>{EF84D178-E014-4059-97E1-E58F2D761501}</x14:id>
        </ext>
      </extLst>
    </cfRule>
  </conditionalFormatting>
  <conditionalFormatting sqref="E63:E73">
    <cfRule type="dataBar" priority="7">
      <dataBar>
        <cfvo type="min"/>
        <cfvo type="max"/>
        <color rgb="FF638EC6"/>
      </dataBar>
      <extLst>
        <ext xmlns:x14="http://schemas.microsoft.com/office/spreadsheetml/2009/9/main" uri="{B025F937-C7B1-47D3-B67F-A62EFF666E3E}">
          <x14:id>{53751E3A-2E2B-4D97-BF64-697B99BBE470}</x14:id>
        </ext>
      </extLst>
    </cfRule>
  </conditionalFormatting>
  <conditionalFormatting sqref="B44:J44">
    <cfRule type="colorScale" priority="2">
      <colorScale>
        <cfvo type="num" val="-0.1"/>
        <cfvo type="num" val="0.02"/>
        <cfvo type="num" val="0.1"/>
        <color rgb="FFFF0000"/>
        <color rgb="FFFFEB84"/>
        <color theme="6" tint="0.39997558519241921"/>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3" id="{028B8F6F-4C47-45F6-8944-AD22BE2743EA}">
            <x14:iconSet iconSet="3Arrows" custom="1">
              <x14:cfvo type="percent">
                <xm:f>0</xm:f>
              </x14:cfvo>
              <x14:cfvo type="percent">
                <xm:f>0</xm:f>
              </x14:cfvo>
              <x14:cfvo type="percent">
                <xm:f>0.01</xm:f>
              </x14:cfvo>
              <x14:cfIcon iconSet="3Arrows" iconId="0"/>
              <x14:cfIcon iconSet="3Arrows" iconId="0"/>
              <x14:cfIcon iconSet="3Arrows" iconId="2"/>
            </x14:iconSet>
          </x14:cfRule>
          <xm:sqref>F29:J29</xm:sqref>
        </x14:conditionalFormatting>
        <x14:conditionalFormatting xmlns:xm="http://schemas.microsoft.com/office/excel/2006/main">
          <x14:cfRule type="dataBar" id="{EF84D178-E014-4059-97E1-E58F2D761501}">
            <x14:dataBar minLength="0" maxLength="100" gradient="0">
              <x14:cfvo type="autoMin"/>
              <x14:cfvo type="autoMax"/>
              <x14:negativeFillColor rgb="FFFF0000"/>
              <x14:axisColor rgb="FF000000"/>
            </x14:dataBar>
          </x14:cfRule>
          <xm:sqref>E25:E35</xm:sqref>
        </x14:conditionalFormatting>
        <x14:conditionalFormatting xmlns:xm="http://schemas.microsoft.com/office/excel/2006/main">
          <x14:cfRule type="iconSet" priority="8" id="{FA25D18A-A008-4C77-B26F-10D068B8B895}">
            <x14:iconSet iconSet="3Arrows" custom="1">
              <x14:cfvo type="percent">
                <xm:f>0</xm:f>
              </x14:cfvo>
              <x14:cfvo type="percent">
                <xm:f>0</xm:f>
              </x14:cfvo>
              <x14:cfvo type="percent">
                <xm:f>0.01</xm:f>
              </x14:cfvo>
              <x14:cfIcon iconSet="3Arrows" iconId="0"/>
              <x14:cfIcon iconSet="3Arrows" iconId="0"/>
              <x14:cfIcon iconSet="3Arrows" iconId="2"/>
            </x14:iconSet>
          </x14:cfRule>
          <xm:sqref>F67:J67</xm:sqref>
        </x14:conditionalFormatting>
        <x14:conditionalFormatting xmlns:xm="http://schemas.microsoft.com/office/excel/2006/main">
          <x14:cfRule type="dataBar" id="{53751E3A-2E2B-4D97-BF64-697B99BBE470}">
            <x14:dataBar minLength="0" maxLength="100" gradient="0">
              <x14:cfvo type="autoMin"/>
              <x14:cfvo type="autoMax"/>
              <x14:negativeFillColor rgb="FFFF0000"/>
              <x14:axisColor rgb="FF000000"/>
            </x14:dataBar>
          </x14:cfRule>
          <xm:sqref>E63:E73</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E259F-B8B5-4A0F-9703-E2B8A6BE7676}">
  <dimension ref="A1:H22"/>
  <sheetViews>
    <sheetView workbookViewId="0">
      <selection activeCell="F13" sqref="F13"/>
    </sheetView>
  </sheetViews>
  <sheetFormatPr defaultRowHeight="14.4" x14ac:dyDescent="0.3"/>
  <cols>
    <col min="1" max="1" width="11" bestFit="1" customWidth="1"/>
    <col min="2" max="2" width="8" customWidth="1"/>
    <col min="3" max="3" width="14.44140625" bestFit="1" customWidth="1"/>
    <col min="4" max="5" width="10.88671875" customWidth="1"/>
  </cols>
  <sheetData>
    <row r="1" spans="1:8" x14ac:dyDescent="0.3">
      <c r="A1" t="s">
        <v>5</v>
      </c>
      <c r="B1" t="s">
        <v>159</v>
      </c>
      <c r="C1" t="s">
        <v>160</v>
      </c>
      <c r="D1" t="s">
        <v>161</v>
      </c>
      <c r="G1" t="s">
        <v>153</v>
      </c>
      <c r="H1" t="s">
        <v>154</v>
      </c>
    </row>
    <row r="2" spans="1:8" x14ac:dyDescent="0.3">
      <c r="A2">
        <v>6</v>
      </c>
      <c r="B2">
        <f>SUMIF(FactSales!F:F,Lookups!A2,FactSales!N:N)</f>
        <v>106272.59999999999</v>
      </c>
      <c r="C2" t="str">
        <f>_xlfn.XLOOKUP(A2,FactSales!F:F,FactSales!G:G,"Unkown",0,1)</f>
        <v>Sophie Johnson</v>
      </c>
      <c r="D2" t="str">
        <f>_xlfn.XLOOKUP(B2,Ranks[Threshold],Ranks[Tiername]," ",-1,1)</f>
        <v>Platinum</v>
      </c>
      <c r="G2">
        <v>0</v>
      </c>
      <c r="H2" t="s">
        <v>155</v>
      </c>
    </row>
    <row r="3" spans="1:8" x14ac:dyDescent="0.3">
      <c r="A3">
        <v>10</v>
      </c>
      <c r="B3">
        <f>SUMIF(FactSales!F:F,Lookups!A3,FactSales!N:N)</f>
        <v>96558.249999999985</v>
      </c>
      <c r="C3" t="str">
        <f>_xlfn.XLOOKUP(A3,FactSales!F:F,FactSales!G:G,"Unkown",0,1)</f>
        <v>Sophie Brown</v>
      </c>
      <c r="D3" t="str">
        <f>_xlfn.XLOOKUP(B3,Ranks[Threshold],Ranks[Tiername]," ",-1,1)</f>
        <v>Gold</v>
      </c>
      <c r="G3">
        <v>50000</v>
      </c>
      <c r="H3" t="s">
        <v>156</v>
      </c>
    </row>
    <row r="4" spans="1:8" x14ac:dyDescent="0.3">
      <c r="A4">
        <v>15</v>
      </c>
      <c r="B4">
        <f>SUMIF(FactSales!F:F,Lookups!A4,FactSales!N:N)</f>
        <v>71059.199999999997</v>
      </c>
      <c r="C4" t="str">
        <f>_xlfn.XLOOKUP(A4,FactSales!F:F,FactSales!G:G,"Unkown",0,1)</f>
        <v>James Brown</v>
      </c>
      <c r="D4" t="str">
        <f>_xlfn.XLOOKUP(B4,Ranks[Threshold],Ranks[Tiername]," ",-1,1)</f>
        <v>Silver</v>
      </c>
      <c r="G4">
        <v>75000</v>
      </c>
      <c r="H4" t="s">
        <v>157</v>
      </c>
    </row>
    <row r="5" spans="1:8" x14ac:dyDescent="0.3">
      <c r="A5">
        <v>21</v>
      </c>
      <c r="B5">
        <f>SUMIF(FactSales!F:F,Lookups!A5,FactSales!N:N)</f>
        <v>156932.34999999998</v>
      </c>
      <c r="C5" t="str">
        <f>_xlfn.XLOOKUP(A5,FactSales!F:F,FactSales!G:G,"Unkown",0,1)</f>
        <v>Anna Johnson</v>
      </c>
      <c r="D5" t="str">
        <f>_xlfn.XLOOKUP(B5,Ranks[Threshold],Ranks[Tiername]," ",-1,1)</f>
        <v>Platinum</v>
      </c>
      <c r="G5">
        <v>100000</v>
      </c>
      <c r="H5" t="s">
        <v>158</v>
      </c>
    </row>
    <row r="6" spans="1:8" x14ac:dyDescent="0.3">
      <c r="A6">
        <v>30</v>
      </c>
      <c r="B6">
        <f>SUMIF(FactSales!F:F,Lookups!A6,FactSales!N:N)</f>
        <v>98836.95</v>
      </c>
      <c r="C6" t="str">
        <f>_xlfn.XLOOKUP(A6,FactSales!F:F,FactSales!G:G,"Unkown",0,1)</f>
        <v>Anna Dupont</v>
      </c>
      <c r="D6" t="str">
        <f>_xlfn.XLOOKUP(B6,Ranks[Threshold],Ranks[Tiername]," ",-1,1)</f>
        <v>Gold</v>
      </c>
    </row>
    <row r="7" spans="1:8" x14ac:dyDescent="0.3">
      <c r="A7">
        <v>76</v>
      </c>
      <c r="B7">
        <f>SUMIF(FactSales!F:F,Lookups!A7,FactSales!N:N)</f>
        <v>102188.26</v>
      </c>
      <c r="C7" t="str">
        <f>_xlfn.XLOOKUP(A7,FactSales!F:F,FactSales!G:G,"Unkown",0,1)</f>
        <v>Lisa Martin</v>
      </c>
      <c r="D7" t="str">
        <f>_xlfn.XLOOKUP(B7,Ranks[Threshold],Ranks[Tiername]," ",-1,1)</f>
        <v>Platinum</v>
      </c>
    </row>
    <row r="8" spans="1:8" x14ac:dyDescent="0.3">
      <c r="A8">
        <v>51</v>
      </c>
      <c r="B8">
        <f>SUMIF(FactSales!F:F,Lookups!A8,FactSales!N:N)</f>
        <v>134156.84</v>
      </c>
      <c r="C8" t="str">
        <f>_xlfn.XLOOKUP(A8,FactSales!F:F,FactSales!G:G,"Unkown",0,1)</f>
        <v>Maria Muller</v>
      </c>
      <c r="D8" t="str">
        <f>_xlfn.XLOOKUP(B8,Ranks[Threshold],Ranks[Tiername]," ",-1,1)</f>
        <v>Platinum</v>
      </c>
    </row>
    <row r="9" spans="1:8" x14ac:dyDescent="0.3">
      <c r="A9" s="7">
        <v>77</v>
      </c>
      <c r="B9">
        <f>SUMIF(FactSales!F:F,Lookups!A9,FactSales!N:N)</f>
        <v>109325.21</v>
      </c>
      <c r="C9" t="str">
        <f>_xlfn.XLOOKUP(A9,FactSales!F:F,FactSales!G:G,"Unkown",0,1)</f>
        <v>Pierre Brown</v>
      </c>
      <c r="D9" t="str">
        <f>_xlfn.XLOOKUP(B9,Ranks[Threshold],Ranks[Tiername]," ",-1,1)</f>
        <v>Platinum</v>
      </c>
    </row>
    <row r="10" spans="1:8" x14ac:dyDescent="0.3">
      <c r="A10" s="7">
        <v>19</v>
      </c>
      <c r="B10">
        <f>SUMIF(FactSales!F:F,Lookups!A10,FactSales!N:N)</f>
        <v>78113.149999999994</v>
      </c>
      <c r="C10" t="str">
        <f>_xlfn.XLOOKUP(A10,FactSales!F:F,FactSales!G:G,"Unkown",0,1)</f>
        <v>Lucas Chen</v>
      </c>
      <c r="D10" t="str">
        <f>_xlfn.XLOOKUP(B10,Ranks[Threshold],Ranks[Tiername]," ",-1,1)</f>
        <v>Gold</v>
      </c>
    </row>
    <row r="11" spans="1:8" x14ac:dyDescent="0.3">
      <c r="A11" s="7">
        <v>21</v>
      </c>
      <c r="B11">
        <f>SUMIF(FactSales!F:F,Lookups!A11,FactSales!N:N)</f>
        <v>156932.34999999998</v>
      </c>
      <c r="C11" t="str">
        <f>_xlfn.XLOOKUP(A11,FactSales!F:F,FactSales!G:G,"Unkown",0,1)</f>
        <v>Anna Johnson</v>
      </c>
      <c r="D11" t="str">
        <f>_xlfn.XLOOKUP(B11,Ranks[Threshold],Ranks[Tiername]," ",-1,1)</f>
        <v>Platinum</v>
      </c>
    </row>
    <row r="12" spans="1:8" x14ac:dyDescent="0.3">
      <c r="A12" s="7">
        <v>35</v>
      </c>
      <c r="B12">
        <f>SUMIF(FactSales!F:F,Lookups!A12,FactSales!N:N)</f>
        <v>116290.7</v>
      </c>
      <c r="C12" t="str">
        <f>_xlfn.XLOOKUP(A12,FactSales!F:F,FactSales!G:G,"Unkown",0,1)</f>
        <v>Pierre Smith</v>
      </c>
      <c r="D12" t="str">
        <f>_xlfn.XLOOKUP(B12,Ranks[Threshold],Ranks[Tiername]," ",-1,1)</f>
        <v>Platinum</v>
      </c>
    </row>
    <row r="13" spans="1:8" x14ac:dyDescent="0.3">
      <c r="A13" s="7">
        <v>33</v>
      </c>
      <c r="B13">
        <f>SUMIF(FactSales!F:F,Lookups!A13,FactSales!N:N)</f>
        <v>94083.489999999991</v>
      </c>
      <c r="C13" t="str">
        <f>_xlfn.XLOOKUP(A13,FactSales!F:F,FactSales!G:G,"Unkown",0,1)</f>
        <v>Emma Smith</v>
      </c>
      <c r="D13" t="str">
        <f>_xlfn.XLOOKUP(B13,Ranks[Threshold],Ranks[Tiername]," ",-1,1)</f>
        <v>Gold</v>
      </c>
    </row>
    <row r="14" spans="1:8" x14ac:dyDescent="0.3">
      <c r="A14" s="7">
        <v>65</v>
      </c>
      <c r="B14">
        <f>SUMIF(FactSales!F:F,Lookups!A14,FactSales!N:N)</f>
        <v>147439.86000000002</v>
      </c>
      <c r="C14" t="str">
        <f>_xlfn.XLOOKUP(A14,FactSales!F:F,FactSales!G:G,"Unkown",0,1)</f>
        <v>Marie Chen</v>
      </c>
      <c r="D14" t="str">
        <f>_xlfn.XLOOKUP(B14,Ranks[Threshold],Ranks[Tiername]," ",-1,1)</f>
        <v>Platinum</v>
      </c>
    </row>
    <row r="15" spans="1:8" x14ac:dyDescent="0.3">
      <c r="A15" s="7">
        <v>55</v>
      </c>
      <c r="B15">
        <f>SUMIF(FactSales!F:F,Lookups!A15,FactSales!N:N)</f>
        <v>155556.75999999995</v>
      </c>
      <c r="C15" t="str">
        <f>_xlfn.XLOOKUP(A15,FactSales!F:F,FactSales!G:G,"Unkown",0,1)</f>
        <v>Sophie Martin</v>
      </c>
      <c r="D15" t="str">
        <f>_xlfn.XLOOKUP(B15,Ranks[Threshold],Ranks[Tiername]," ",-1,1)</f>
        <v>Platinum</v>
      </c>
    </row>
    <row r="16" spans="1:8" x14ac:dyDescent="0.3">
      <c r="A16" s="7">
        <v>36</v>
      </c>
      <c r="B16">
        <f>SUMIF(FactSales!F:F,Lookups!A16,FactSales!N:N)</f>
        <v>84311</v>
      </c>
      <c r="C16" t="str">
        <f>_xlfn.XLOOKUP(A16,FactSales!F:F,FactSales!G:G,"Unkown",0,1)</f>
        <v>Maria Wilson</v>
      </c>
      <c r="D16" t="str">
        <f>_xlfn.XLOOKUP(B16,Ranks[Threshold],Ranks[Tiername]," ",-1,1)</f>
        <v>Gold</v>
      </c>
    </row>
    <row r="17" spans="1:4" x14ac:dyDescent="0.3">
      <c r="A17" s="7">
        <v>27</v>
      </c>
      <c r="B17">
        <f>SUMIF(FactSales!F:F,Lookups!A17,FactSales!N:N)</f>
        <v>181554.9</v>
      </c>
      <c r="C17" t="str">
        <f>_xlfn.XLOOKUP(A17,FactSales!F:F,FactSales!G:G,"Unkown",0,1)</f>
        <v>Nora Muller</v>
      </c>
      <c r="D17" t="str">
        <f>_xlfn.XLOOKUP(B17,Ranks[Threshold],Ranks[Tiername]," ",-1,1)</f>
        <v>Platinum</v>
      </c>
    </row>
    <row r="18" spans="1:4" x14ac:dyDescent="0.3">
      <c r="A18" s="7">
        <v>77</v>
      </c>
      <c r="B18">
        <f>SUMIF(FactSales!F:F,Lookups!A18,FactSales!N:N)</f>
        <v>109325.21</v>
      </c>
      <c r="C18" t="str">
        <f>_xlfn.XLOOKUP(A18,FactSales!F:F,FactSales!G:G,"Unkown",0,1)</f>
        <v>Pierre Brown</v>
      </c>
      <c r="D18" t="str">
        <f>_xlfn.XLOOKUP(B18,Ranks[Threshold],Ranks[Tiername]," ",-1,1)</f>
        <v>Platinum</v>
      </c>
    </row>
    <row r="19" spans="1:4" x14ac:dyDescent="0.3">
      <c r="A19" s="7">
        <v>43</v>
      </c>
      <c r="B19">
        <f>SUMIF(FactSales!F:F,Lookups!A19,FactSales!N:N)</f>
        <v>85548.180000000008</v>
      </c>
      <c r="C19" t="str">
        <f>_xlfn.XLOOKUP(A19,FactSales!F:F,FactSales!G:G,"Unkown",0,1)</f>
        <v>Nora Rodriguez</v>
      </c>
      <c r="D19" t="str">
        <f>_xlfn.XLOOKUP(B19,Ranks[Threshold],Ranks[Tiername]," ",-1,1)</f>
        <v>Gold</v>
      </c>
    </row>
    <row r="20" spans="1:4" x14ac:dyDescent="0.3">
      <c r="A20" s="7">
        <v>27</v>
      </c>
      <c r="B20">
        <f>SUMIF(FactSales!F:F,Lookups!A20,FactSales!N:N)</f>
        <v>181554.9</v>
      </c>
      <c r="C20" t="str">
        <f>_xlfn.XLOOKUP(A20,FactSales!F:F,FactSales!G:G,"Unkown",0,1)</f>
        <v>Nora Muller</v>
      </c>
      <c r="D20" t="str">
        <f>_xlfn.XLOOKUP(B20,Ranks[Threshold],Ranks[Tiername]," ",-1,1)</f>
        <v>Platinum</v>
      </c>
    </row>
    <row r="21" spans="1:4" x14ac:dyDescent="0.3">
      <c r="A21" s="7">
        <v>67</v>
      </c>
      <c r="B21">
        <f>SUMIF(FactSales!F:F,Lookups!A21,FactSales!N:N)</f>
        <v>84168.699999999983</v>
      </c>
      <c r="C21" t="str">
        <f>_xlfn.XLOOKUP(A21,FactSales!F:F,FactSales!G:G,"Unkown",0,1)</f>
        <v>Sarah Leclerc</v>
      </c>
      <c r="D21" t="str">
        <f>_xlfn.XLOOKUP(B21,Ranks[Threshold],Ranks[Tiername]," ",-1,1)</f>
        <v>Gold</v>
      </c>
    </row>
    <row r="22" spans="1:4" x14ac:dyDescent="0.3">
      <c r="A22" s="7">
        <v>52</v>
      </c>
      <c r="B22">
        <f>SUMIF(FactSales!F:F,Lookups!A22,FactSales!N:N)</f>
        <v>101644.86000000003</v>
      </c>
      <c r="C22" t="str">
        <f>_xlfn.XLOOKUP(A22,FactSales!F:F,FactSales!G:G,"Unkown",0,1)</f>
        <v>James Garcia</v>
      </c>
      <c r="D22" t="str">
        <f>_xlfn.XLOOKUP(B22,Ranks[Threshold],Ranks[Tiername]," ",-1,1)</f>
        <v>Platinum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D833-4CE8-4690-BD3B-FEEBB46E33FF}">
  <dimension ref="A1:T43"/>
  <sheetViews>
    <sheetView workbookViewId="0">
      <selection activeCell="F38" sqref="F38"/>
    </sheetView>
  </sheetViews>
  <sheetFormatPr defaultRowHeight="14.4" x14ac:dyDescent="0.3"/>
  <cols>
    <col min="1" max="1" width="19.6640625" bestFit="1" customWidth="1"/>
    <col min="2" max="2" width="19.33203125" bestFit="1" customWidth="1"/>
    <col min="3" max="3" width="15.109375" bestFit="1" customWidth="1"/>
    <col min="4" max="5" width="8.109375" bestFit="1" customWidth="1"/>
    <col min="6" max="6" width="11" bestFit="1" customWidth="1"/>
    <col min="8" max="8" width="19.6640625" bestFit="1" customWidth="1"/>
    <col min="9" max="9" width="19.33203125" bestFit="1" customWidth="1"/>
    <col min="10" max="10" width="15.109375" bestFit="1" customWidth="1"/>
    <col min="11" max="11" width="24.109375" bestFit="1" customWidth="1"/>
    <col min="12" max="12" width="20" bestFit="1" customWidth="1"/>
    <col min="13" max="13" width="11" bestFit="1" customWidth="1"/>
    <col min="14" max="14" width="14.5546875" bestFit="1" customWidth="1"/>
    <col min="15" max="15" width="19.33203125" bestFit="1" customWidth="1"/>
    <col min="16" max="16" width="15.109375" bestFit="1" customWidth="1"/>
    <col min="17" max="17" width="24.109375" bestFit="1" customWidth="1"/>
    <col min="18" max="18" width="20" bestFit="1" customWidth="1"/>
    <col min="19" max="19" width="4" bestFit="1" customWidth="1"/>
    <col min="20" max="20" width="11" bestFit="1" customWidth="1"/>
    <col min="22" max="22" width="20" bestFit="1" customWidth="1"/>
    <col min="23" max="23" width="16.33203125" bestFit="1" customWidth="1"/>
    <col min="24" max="26" width="4" bestFit="1" customWidth="1"/>
    <col min="27" max="27" width="11" bestFit="1" customWidth="1"/>
    <col min="29" max="29" width="13" bestFit="1" customWidth="1"/>
    <col min="30" max="30" width="18.44140625" bestFit="1" customWidth="1"/>
    <col min="31" max="38" width="2" bestFit="1" customWidth="1"/>
    <col min="39" max="109" width="3" bestFit="1" customWidth="1"/>
    <col min="110" max="110" width="11" bestFit="1" customWidth="1"/>
  </cols>
  <sheetData>
    <row r="1" spans="1:20" x14ac:dyDescent="0.3">
      <c r="A1" s="3" t="s">
        <v>137</v>
      </c>
      <c r="B1" s="3" t="s">
        <v>3</v>
      </c>
      <c r="H1" s="3" t="s">
        <v>139</v>
      </c>
      <c r="I1" s="3" t="s">
        <v>136</v>
      </c>
      <c r="O1" s="3" t="s">
        <v>171</v>
      </c>
      <c r="P1" s="3" t="s">
        <v>136</v>
      </c>
    </row>
    <row r="2" spans="1:20" x14ac:dyDescent="0.3">
      <c r="A2" s="3" t="s">
        <v>138</v>
      </c>
      <c r="B2">
        <v>1</v>
      </c>
      <c r="C2">
        <v>2</v>
      </c>
      <c r="D2">
        <v>3</v>
      </c>
      <c r="E2">
        <v>4</v>
      </c>
      <c r="F2" t="s">
        <v>135</v>
      </c>
      <c r="H2" s="3" t="s">
        <v>134</v>
      </c>
      <c r="I2">
        <v>1</v>
      </c>
      <c r="J2">
        <v>2</v>
      </c>
      <c r="K2">
        <v>3</v>
      </c>
      <c r="L2">
        <v>4</v>
      </c>
      <c r="M2" t="s">
        <v>135</v>
      </c>
      <c r="O2" s="3" t="s">
        <v>134</v>
      </c>
      <c r="P2">
        <v>1</v>
      </c>
      <c r="Q2">
        <v>2</v>
      </c>
      <c r="R2">
        <v>3</v>
      </c>
      <c r="S2">
        <v>4</v>
      </c>
      <c r="T2" t="s">
        <v>135</v>
      </c>
    </row>
    <row r="3" spans="1:20" x14ac:dyDescent="0.3">
      <c r="A3" s="4" t="s">
        <v>75</v>
      </c>
      <c r="B3" s="5">
        <v>395941.75000000006</v>
      </c>
      <c r="C3" s="5">
        <v>509930.42999999976</v>
      </c>
      <c r="D3" s="5">
        <v>386369.01</v>
      </c>
      <c r="E3" s="5">
        <v>387848.86000000004</v>
      </c>
      <c r="F3" s="5">
        <v>1680090.05</v>
      </c>
      <c r="H3" s="4" t="s">
        <v>75</v>
      </c>
      <c r="I3" s="2">
        <v>341</v>
      </c>
      <c r="J3" s="2">
        <v>471</v>
      </c>
      <c r="K3" s="2">
        <v>358</v>
      </c>
      <c r="L3" s="2">
        <v>343</v>
      </c>
      <c r="M3" s="2">
        <v>1513</v>
      </c>
      <c r="O3" s="4" t="s">
        <v>75</v>
      </c>
      <c r="P3" s="2">
        <v>51</v>
      </c>
      <c r="Q3" s="2">
        <v>60</v>
      </c>
      <c r="R3" s="2">
        <v>50</v>
      </c>
      <c r="S3" s="2">
        <v>54</v>
      </c>
      <c r="T3" s="2">
        <v>215</v>
      </c>
    </row>
    <row r="4" spans="1:20" x14ac:dyDescent="0.3">
      <c r="A4" s="4" t="s">
        <v>20</v>
      </c>
      <c r="B4" s="5">
        <v>957170.23999999987</v>
      </c>
      <c r="C4" s="5">
        <v>1030634.61</v>
      </c>
      <c r="D4" s="5">
        <v>1155091.5899999996</v>
      </c>
      <c r="E4" s="5">
        <v>1182562.9999999995</v>
      </c>
      <c r="F4" s="5">
        <v>4325459.4399999995</v>
      </c>
      <c r="H4" s="4" t="s">
        <v>20</v>
      </c>
      <c r="I4" s="2">
        <v>922</v>
      </c>
      <c r="J4" s="2">
        <v>1047</v>
      </c>
      <c r="K4" s="2">
        <v>1112</v>
      </c>
      <c r="L4" s="2">
        <v>1071</v>
      </c>
      <c r="M4" s="2">
        <v>4152</v>
      </c>
      <c r="O4" s="4" t="s">
        <v>20</v>
      </c>
      <c r="P4" s="2">
        <v>134</v>
      </c>
      <c r="Q4" s="2">
        <v>139</v>
      </c>
      <c r="R4" s="2">
        <v>149</v>
      </c>
      <c r="S4" s="2">
        <v>146</v>
      </c>
      <c r="T4" s="2">
        <v>568</v>
      </c>
    </row>
    <row r="5" spans="1:20" x14ac:dyDescent="0.3">
      <c r="A5" s="4" t="s">
        <v>34</v>
      </c>
      <c r="B5" s="5">
        <v>393139.25999999989</v>
      </c>
      <c r="C5" s="5">
        <v>282127.31</v>
      </c>
      <c r="D5" s="5">
        <v>301598.24</v>
      </c>
      <c r="E5" s="5">
        <v>471165.89999999997</v>
      </c>
      <c r="F5" s="5">
        <v>1448030.7099999997</v>
      </c>
      <c r="H5" s="4" t="s">
        <v>34</v>
      </c>
      <c r="I5" s="2">
        <v>408</v>
      </c>
      <c r="J5" s="2">
        <v>294</v>
      </c>
      <c r="K5" s="2">
        <v>331</v>
      </c>
      <c r="L5" s="2">
        <v>414</v>
      </c>
      <c r="M5" s="2">
        <v>1447</v>
      </c>
      <c r="O5" s="4" t="s">
        <v>34</v>
      </c>
      <c r="P5" s="2">
        <v>53</v>
      </c>
      <c r="Q5" s="2">
        <v>41</v>
      </c>
      <c r="R5" s="2">
        <v>47</v>
      </c>
      <c r="S5" s="2">
        <v>48</v>
      </c>
      <c r="T5" s="2">
        <v>189</v>
      </c>
    </row>
    <row r="6" spans="1:20" x14ac:dyDescent="0.3">
      <c r="A6" s="4" t="s">
        <v>57</v>
      </c>
      <c r="B6" s="5">
        <v>286488.93000000005</v>
      </c>
      <c r="C6" s="5">
        <v>463387.49000000017</v>
      </c>
      <c r="D6" s="5">
        <v>311804.12999999995</v>
      </c>
      <c r="E6" s="5">
        <v>388880.08</v>
      </c>
      <c r="F6" s="5">
        <v>1450560.6300000001</v>
      </c>
      <c r="H6" s="4" t="s">
        <v>57</v>
      </c>
      <c r="I6" s="2">
        <v>332</v>
      </c>
      <c r="J6" s="2">
        <v>449</v>
      </c>
      <c r="K6" s="2">
        <v>337</v>
      </c>
      <c r="L6" s="2">
        <v>345</v>
      </c>
      <c r="M6" s="2">
        <v>1463</v>
      </c>
      <c r="O6" s="4" t="s">
        <v>57</v>
      </c>
      <c r="P6" s="2">
        <v>42</v>
      </c>
      <c r="Q6" s="2">
        <v>62</v>
      </c>
      <c r="R6" s="2">
        <v>45</v>
      </c>
      <c r="S6" s="2">
        <v>45</v>
      </c>
      <c r="T6" s="2">
        <v>194</v>
      </c>
    </row>
    <row r="7" spans="1:20" x14ac:dyDescent="0.3">
      <c r="A7" s="4" t="s">
        <v>135</v>
      </c>
      <c r="B7" s="5">
        <v>2032740.1800000002</v>
      </c>
      <c r="C7" s="5">
        <v>2286079.84</v>
      </c>
      <c r="D7" s="5">
        <v>2154862.9699999997</v>
      </c>
      <c r="E7" s="5">
        <v>2430457.8399999994</v>
      </c>
      <c r="F7" s="5">
        <v>8904140.8300000001</v>
      </c>
      <c r="H7" s="4" t="s">
        <v>135</v>
      </c>
      <c r="I7" s="2">
        <v>2003</v>
      </c>
      <c r="J7" s="2">
        <v>2261</v>
      </c>
      <c r="K7" s="2">
        <v>2138</v>
      </c>
      <c r="L7" s="2">
        <v>2173</v>
      </c>
      <c r="M7" s="2">
        <v>8575</v>
      </c>
      <c r="O7" s="4" t="s">
        <v>135</v>
      </c>
      <c r="P7" s="2">
        <v>280</v>
      </c>
      <c r="Q7" s="2">
        <v>302</v>
      </c>
      <c r="R7" s="2">
        <v>291</v>
      </c>
      <c r="S7" s="2">
        <v>293</v>
      </c>
      <c r="T7" s="2">
        <v>1166</v>
      </c>
    </row>
    <row r="9" spans="1:20" x14ac:dyDescent="0.3">
      <c r="A9" s="3" t="s">
        <v>134</v>
      </c>
      <c r="B9" t="s">
        <v>137</v>
      </c>
      <c r="C9" t="s">
        <v>139</v>
      </c>
      <c r="I9" s="3" t="s">
        <v>136</v>
      </c>
      <c r="O9" s="3" t="s">
        <v>136</v>
      </c>
    </row>
    <row r="10" spans="1:20" x14ac:dyDescent="0.3">
      <c r="A10" s="4" t="s">
        <v>35</v>
      </c>
      <c r="B10" s="2">
        <v>753082.78000000038</v>
      </c>
      <c r="C10" s="2">
        <v>703</v>
      </c>
      <c r="I10">
        <v>1</v>
      </c>
      <c r="K10" t="s">
        <v>172</v>
      </c>
      <c r="L10" t="s">
        <v>173</v>
      </c>
      <c r="O10">
        <v>2</v>
      </c>
      <c r="Q10" t="s">
        <v>172</v>
      </c>
      <c r="R10" t="s">
        <v>173</v>
      </c>
    </row>
    <row r="11" spans="1:20" x14ac:dyDescent="0.3">
      <c r="A11" s="4" t="s">
        <v>21</v>
      </c>
      <c r="B11" s="2">
        <v>751019.10999999975</v>
      </c>
      <c r="C11" s="2">
        <v>672</v>
      </c>
      <c r="H11" s="3" t="s">
        <v>134</v>
      </c>
      <c r="I11" t="s">
        <v>137</v>
      </c>
      <c r="J11" t="s">
        <v>139</v>
      </c>
      <c r="N11" s="3" t="s">
        <v>134</v>
      </c>
      <c r="O11" t="s">
        <v>137</v>
      </c>
      <c r="P11" t="s">
        <v>139</v>
      </c>
    </row>
    <row r="12" spans="1:20" x14ac:dyDescent="0.3">
      <c r="A12" s="4" t="s">
        <v>97</v>
      </c>
      <c r="B12" s="2">
        <v>655768.55999999982</v>
      </c>
      <c r="C12" s="2">
        <v>601</v>
      </c>
      <c r="H12" s="4" t="s">
        <v>97</v>
      </c>
      <c r="I12" s="2">
        <v>217733.05000000005</v>
      </c>
      <c r="J12" s="2">
        <v>182</v>
      </c>
      <c r="K12" s="2">
        <v>217733.05000000005</v>
      </c>
      <c r="L12" s="2">
        <v>182</v>
      </c>
      <c r="N12" s="4" t="s">
        <v>71</v>
      </c>
      <c r="O12" s="2">
        <v>244372.50000000006</v>
      </c>
      <c r="P12" s="2">
        <v>214</v>
      </c>
      <c r="Q12" s="2">
        <v>244372.50000000006</v>
      </c>
      <c r="R12" s="2">
        <v>214</v>
      </c>
    </row>
    <row r="13" spans="1:20" x14ac:dyDescent="0.3">
      <c r="A13" s="4" t="s">
        <v>47</v>
      </c>
      <c r="B13" s="2">
        <v>630461.48</v>
      </c>
      <c r="C13" s="2">
        <v>640</v>
      </c>
      <c r="H13" s="4" t="s">
        <v>51</v>
      </c>
      <c r="I13" s="2">
        <v>174342.16999999998</v>
      </c>
      <c r="J13" s="2">
        <v>152</v>
      </c>
      <c r="K13" s="2">
        <v>174342.16999999998</v>
      </c>
      <c r="L13" s="2">
        <v>152</v>
      </c>
      <c r="N13" s="4" t="s">
        <v>39</v>
      </c>
      <c r="O13" s="2">
        <v>198469.73</v>
      </c>
      <c r="P13" s="2">
        <v>191</v>
      </c>
      <c r="Q13" s="2">
        <v>198469.73</v>
      </c>
      <c r="R13" s="2">
        <v>191</v>
      </c>
    </row>
    <row r="14" spans="1:20" x14ac:dyDescent="0.3">
      <c r="A14" s="4" t="s">
        <v>39</v>
      </c>
      <c r="B14" s="2">
        <v>618651.55000000016</v>
      </c>
      <c r="C14" s="2">
        <v>553</v>
      </c>
      <c r="H14" s="4" t="s">
        <v>39</v>
      </c>
      <c r="I14" s="2">
        <v>153580.96999999997</v>
      </c>
      <c r="J14" s="2">
        <v>136</v>
      </c>
      <c r="K14" s="2">
        <v>153580.96999999997</v>
      </c>
      <c r="L14" s="2">
        <v>136</v>
      </c>
      <c r="N14" s="4" t="s">
        <v>70</v>
      </c>
      <c r="O14" s="2">
        <v>175600.53</v>
      </c>
      <c r="P14" s="2">
        <v>150</v>
      </c>
      <c r="Q14" s="2">
        <v>175600.53</v>
      </c>
      <c r="R14" s="2">
        <v>150</v>
      </c>
    </row>
    <row r="15" spans="1:20" x14ac:dyDescent="0.3">
      <c r="A15" s="4" t="s">
        <v>51</v>
      </c>
      <c r="B15" s="2">
        <v>615909.75</v>
      </c>
      <c r="C15" s="2">
        <v>565</v>
      </c>
      <c r="H15" s="4" t="s">
        <v>52</v>
      </c>
      <c r="I15" s="2">
        <v>149454.24000000002</v>
      </c>
      <c r="J15" s="2">
        <v>139</v>
      </c>
      <c r="K15" s="2">
        <v>149454.24000000002</v>
      </c>
      <c r="L15" s="2">
        <v>139</v>
      </c>
      <c r="N15" s="4" t="s">
        <v>35</v>
      </c>
      <c r="O15" s="2">
        <v>172864.74999999997</v>
      </c>
      <c r="P15" s="2">
        <v>184</v>
      </c>
      <c r="Q15" s="2">
        <v>172864.74999999997</v>
      </c>
      <c r="R15" s="2">
        <v>184</v>
      </c>
    </row>
    <row r="16" spans="1:20" x14ac:dyDescent="0.3">
      <c r="A16" s="4" t="s">
        <v>50</v>
      </c>
      <c r="B16" s="2">
        <v>606858.79000000015</v>
      </c>
      <c r="C16" s="2">
        <v>594</v>
      </c>
      <c r="H16" s="4" t="s">
        <v>21</v>
      </c>
      <c r="I16" s="2">
        <v>146178.71</v>
      </c>
      <c r="J16" s="2">
        <v>138</v>
      </c>
      <c r="K16" s="2">
        <v>146178.71</v>
      </c>
      <c r="L16" s="2">
        <v>138</v>
      </c>
      <c r="N16" s="4" t="s">
        <v>50</v>
      </c>
      <c r="O16" s="2">
        <v>171465.89999999997</v>
      </c>
      <c r="P16" s="2">
        <v>161</v>
      </c>
      <c r="Q16" s="2">
        <v>171465.89999999997</v>
      </c>
      <c r="R16" s="2">
        <v>161</v>
      </c>
    </row>
    <row r="17" spans="1:18" x14ac:dyDescent="0.3">
      <c r="A17" s="4" t="s">
        <v>71</v>
      </c>
      <c r="B17" s="2">
        <v>595665.67999999993</v>
      </c>
      <c r="C17" s="2">
        <v>602</v>
      </c>
      <c r="H17" s="4" t="s">
        <v>58</v>
      </c>
      <c r="I17" s="2">
        <v>144493.43999999997</v>
      </c>
      <c r="J17" s="2">
        <v>122</v>
      </c>
      <c r="K17" s="2">
        <v>144493.43999999997</v>
      </c>
      <c r="L17" s="2">
        <v>122</v>
      </c>
      <c r="N17" s="4" t="s">
        <v>47</v>
      </c>
      <c r="O17" s="2">
        <v>167087.38999999998</v>
      </c>
      <c r="P17" s="2">
        <v>198</v>
      </c>
      <c r="Q17" s="2">
        <v>167087.38999999998</v>
      </c>
      <c r="R17" s="2">
        <v>198</v>
      </c>
    </row>
    <row r="18" spans="1:18" x14ac:dyDescent="0.3">
      <c r="A18" s="4" t="s">
        <v>59</v>
      </c>
      <c r="B18" s="2">
        <v>590325.75999999966</v>
      </c>
      <c r="C18" s="2">
        <v>578</v>
      </c>
      <c r="H18" s="4" t="s">
        <v>50</v>
      </c>
      <c r="I18" s="2">
        <v>137103.38999999998</v>
      </c>
      <c r="J18" s="2">
        <v>171</v>
      </c>
      <c r="K18" s="2">
        <v>137103.38999999998</v>
      </c>
      <c r="L18" s="2">
        <v>171</v>
      </c>
      <c r="N18" s="4" t="s">
        <v>21</v>
      </c>
      <c r="O18" s="2">
        <v>160318.71000000002</v>
      </c>
      <c r="P18" s="2">
        <v>147</v>
      </c>
      <c r="Q18" s="2">
        <v>160318.71000000002</v>
      </c>
      <c r="R18" s="2">
        <v>147</v>
      </c>
    </row>
    <row r="19" spans="1:18" x14ac:dyDescent="0.3">
      <c r="A19" s="4" t="s">
        <v>42</v>
      </c>
      <c r="B19" s="2">
        <v>570985.99999999988</v>
      </c>
      <c r="C19" s="2">
        <v>552</v>
      </c>
      <c r="H19" s="4" t="s">
        <v>42</v>
      </c>
      <c r="I19" s="2">
        <v>136095.41999999998</v>
      </c>
      <c r="J19" s="2">
        <v>144</v>
      </c>
      <c r="K19" s="2">
        <v>136095.41999999998</v>
      </c>
      <c r="L19" s="2">
        <v>144</v>
      </c>
      <c r="N19" s="4" t="s">
        <v>28</v>
      </c>
      <c r="O19" s="2">
        <v>145372.47999999995</v>
      </c>
      <c r="P19" s="2">
        <v>120</v>
      </c>
      <c r="Q19" s="2">
        <v>145372.47999999995</v>
      </c>
      <c r="R19" s="2">
        <v>120</v>
      </c>
    </row>
    <row r="20" spans="1:18" x14ac:dyDescent="0.3">
      <c r="A20" s="4" t="s">
        <v>135</v>
      </c>
      <c r="B20" s="2">
        <v>6388729.459999999</v>
      </c>
      <c r="C20" s="2">
        <v>6060</v>
      </c>
      <c r="H20" s="4" t="s">
        <v>59</v>
      </c>
      <c r="I20" s="2">
        <v>132025.19999999998</v>
      </c>
      <c r="J20" s="2">
        <v>134</v>
      </c>
      <c r="K20" s="2">
        <v>132025.19999999998</v>
      </c>
      <c r="L20" s="2">
        <v>134</v>
      </c>
      <c r="N20" s="4" t="s">
        <v>52</v>
      </c>
      <c r="O20" s="2">
        <v>144578.51</v>
      </c>
      <c r="P20" s="2">
        <v>152</v>
      </c>
      <c r="Q20" s="2">
        <v>144578.51</v>
      </c>
      <c r="R20" s="2">
        <v>152</v>
      </c>
    </row>
    <row r="21" spans="1:18" x14ac:dyDescent="0.3">
      <c r="H21" s="4" t="s">
        <v>35</v>
      </c>
      <c r="I21" s="2">
        <v>124413.94999999998</v>
      </c>
      <c r="J21" s="2">
        <v>142</v>
      </c>
      <c r="K21" s="2">
        <v>124413.94999999998</v>
      </c>
      <c r="L21" s="2">
        <v>142</v>
      </c>
      <c r="N21" s="4" t="s">
        <v>59</v>
      </c>
      <c r="O21" s="2">
        <v>129192.00999999998</v>
      </c>
      <c r="P21" s="2">
        <v>130</v>
      </c>
      <c r="Q21" s="2">
        <v>129192.00999999998</v>
      </c>
      <c r="R21" s="2">
        <v>130</v>
      </c>
    </row>
    <row r="22" spans="1:18" x14ac:dyDescent="0.3">
      <c r="A22" s="3" t="s">
        <v>137</v>
      </c>
      <c r="B22" s="3" t="s">
        <v>136</v>
      </c>
      <c r="H22" s="4" t="s">
        <v>135</v>
      </c>
      <c r="I22" s="2">
        <v>1515420.5399999998</v>
      </c>
      <c r="J22" s="2">
        <v>1460</v>
      </c>
      <c r="K22" s="2">
        <v>1515420.5399999998</v>
      </c>
      <c r="L22" s="2">
        <v>1460</v>
      </c>
      <c r="N22" s="4" t="s">
        <v>135</v>
      </c>
      <c r="O22" s="2">
        <v>1709322.5099999998</v>
      </c>
      <c r="P22" s="2">
        <v>1647</v>
      </c>
      <c r="Q22" s="2">
        <v>1709322.5099999998</v>
      </c>
      <c r="R22" s="2">
        <v>1647</v>
      </c>
    </row>
    <row r="23" spans="1:18" x14ac:dyDescent="0.3">
      <c r="A23" s="3" t="s">
        <v>134</v>
      </c>
      <c r="B23" t="s">
        <v>30</v>
      </c>
      <c r="C23" t="s">
        <v>48</v>
      </c>
      <c r="D23" t="s">
        <v>23</v>
      </c>
      <c r="E23" t="s">
        <v>43</v>
      </c>
      <c r="F23" t="s">
        <v>135</v>
      </c>
    </row>
    <row r="24" spans="1:18" x14ac:dyDescent="0.3">
      <c r="A24" s="4" t="s">
        <v>26</v>
      </c>
      <c r="B24" s="6">
        <v>0.30952103076798509</v>
      </c>
      <c r="C24" s="6">
        <v>0.252080422365973</v>
      </c>
      <c r="D24" s="6">
        <v>0.25636191834329747</v>
      </c>
      <c r="E24" s="6">
        <v>0.2569016514468716</v>
      </c>
      <c r="F24" s="6">
        <v>0.27208579875976652</v>
      </c>
    </row>
    <row r="25" spans="1:18" x14ac:dyDescent="0.3">
      <c r="A25" s="4" t="s">
        <v>62</v>
      </c>
      <c r="B25" s="6">
        <v>0.15771536872209468</v>
      </c>
      <c r="C25" s="6">
        <v>0.23620962096311526</v>
      </c>
      <c r="D25" s="6">
        <v>0.15091176196036929</v>
      </c>
      <c r="E25" s="6">
        <v>0.18984141227386286</v>
      </c>
      <c r="F25" s="6">
        <v>0.18192159029452368</v>
      </c>
    </row>
    <row r="26" spans="1:18" x14ac:dyDescent="0.3">
      <c r="A26" s="4" t="s">
        <v>18</v>
      </c>
      <c r="B26" s="6">
        <v>0.30375301118205705</v>
      </c>
      <c r="C26" s="6">
        <v>0.30708217109796504</v>
      </c>
      <c r="D26" s="6">
        <v>0.31636498234224292</v>
      </c>
      <c r="E26" s="6">
        <v>0.30629846639424169</v>
      </c>
      <c r="F26" s="6">
        <v>0.30711984370085482</v>
      </c>
    </row>
    <row r="27" spans="1:18" x14ac:dyDescent="0.3">
      <c r="A27" s="4" t="s">
        <v>69</v>
      </c>
      <c r="B27" s="6">
        <v>0.22901058932786314</v>
      </c>
      <c r="C27" s="6">
        <v>0.20462778557294661</v>
      </c>
      <c r="D27" s="6">
        <v>0.27636133735409035</v>
      </c>
      <c r="E27" s="6">
        <v>0.24695846988502393</v>
      </c>
      <c r="F27" s="6">
        <v>0.23887276724485493</v>
      </c>
    </row>
    <row r="28" spans="1:18" x14ac:dyDescent="0.3">
      <c r="A28" s="4" t="s">
        <v>135</v>
      </c>
      <c r="B28" s="6">
        <v>1</v>
      </c>
      <c r="C28" s="6">
        <v>1</v>
      </c>
      <c r="D28" s="6">
        <v>1</v>
      </c>
      <c r="E28" s="6">
        <v>1</v>
      </c>
      <c r="F28" s="6">
        <v>1</v>
      </c>
    </row>
    <row r="30" spans="1:18" x14ac:dyDescent="0.3">
      <c r="A30" s="3" t="s">
        <v>134</v>
      </c>
      <c r="B30" t="s">
        <v>137</v>
      </c>
    </row>
    <row r="31" spans="1:18" x14ac:dyDescent="0.3">
      <c r="A31" s="4" t="s">
        <v>141</v>
      </c>
      <c r="B31" s="2">
        <v>720956.38999999966</v>
      </c>
    </row>
    <row r="32" spans="1:18" x14ac:dyDescent="0.3">
      <c r="A32" s="4" t="s">
        <v>142</v>
      </c>
      <c r="B32" s="2">
        <v>653542.39999999979</v>
      </c>
    </row>
    <row r="33" spans="1:2" x14ac:dyDescent="0.3">
      <c r="A33" s="4" t="s">
        <v>143</v>
      </c>
      <c r="B33" s="2">
        <v>658241.39000000013</v>
      </c>
    </row>
    <row r="34" spans="1:2" x14ac:dyDescent="0.3">
      <c r="A34" s="4" t="s">
        <v>144</v>
      </c>
      <c r="B34" s="2">
        <v>770811.08999999985</v>
      </c>
    </row>
    <row r="35" spans="1:2" x14ac:dyDescent="0.3">
      <c r="A35" s="4" t="s">
        <v>145</v>
      </c>
      <c r="B35" s="2">
        <v>724605.46999999986</v>
      </c>
    </row>
    <row r="36" spans="1:2" x14ac:dyDescent="0.3">
      <c r="A36" s="4" t="s">
        <v>146</v>
      </c>
      <c r="B36" s="2">
        <v>790663.28</v>
      </c>
    </row>
    <row r="37" spans="1:2" x14ac:dyDescent="0.3">
      <c r="A37" s="4" t="s">
        <v>147</v>
      </c>
      <c r="B37" s="2">
        <v>729540.02000000014</v>
      </c>
    </row>
    <row r="38" spans="1:2" x14ac:dyDescent="0.3">
      <c r="A38" s="4" t="s">
        <v>148</v>
      </c>
      <c r="B38" s="2">
        <v>798333.34</v>
      </c>
    </row>
    <row r="39" spans="1:2" x14ac:dyDescent="0.3">
      <c r="A39" s="4" t="s">
        <v>149</v>
      </c>
      <c r="B39" s="2">
        <v>626989.61</v>
      </c>
    </row>
    <row r="40" spans="1:2" x14ac:dyDescent="0.3">
      <c r="A40" s="4" t="s">
        <v>150</v>
      </c>
      <c r="B40" s="2">
        <v>816977.53</v>
      </c>
    </row>
    <row r="41" spans="1:2" x14ac:dyDescent="0.3">
      <c r="A41" s="4" t="s">
        <v>151</v>
      </c>
      <c r="B41" s="2">
        <v>808580.90000000061</v>
      </c>
    </row>
    <row r="42" spans="1:2" x14ac:dyDescent="0.3">
      <c r="A42" s="4" t="s">
        <v>152</v>
      </c>
      <c r="B42" s="2">
        <v>804899.41000000027</v>
      </c>
    </row>
    <row r="43" spans="1:2" x14ac:dyDescent="0.3">
      <c r="A43" s="4" t="s">
        <v>135</v>
      </c>
      <c r="B43" s="2">
        <v>8904140.8300000019</v>
      </c>
    </row>
  </sheetData>
  <pageMargins left="0.7" right="0.7" top="0.75" bottom="0.75" header="0.3" footer="0.3"/>
  <drawing r:id="rId9"/>
  <extLst>
    <ext xmlns:x14="http://schemas.microsoft.com/office/spreadsheetml/2009/9/main" uri="{05C60535-1F16-4fd2-B633-F4F36F0B64E0}">
      <x14:sparklineGroups xmlns:xm="http://schemas.microsoft.com/office/excel/2006/main">
        <x14:sparklineGroup displayEmptyCellsAs="gap" xr2:uid="{8B57160C-DCA9-44E7-8001-43EDC68E81FC}">
          <x14:colorSeries rgb="FF376092"/>
          <x14:colorNegative rgb="FFD00000"/>
          <x14:colorAxis rgb="FF000000"/>
          <x14:colorMarkers rgb="FFD00000"/>
          <x14:colorFirst rgb="FFD00000"/>
          <x14:colorLast rgb="FFD00000"/>
          <x14:colorHigh rgb="FFD00000"/>
          <x14:colorLow rgb="FFD00000"/>
          <x14:sparklines>
            <x14:sparkline>
              <xm:f>Pivots!B31:B42</xm:f>
              <xm:sqref>D31</xm:sqref>
            </x14:sparkline>
          </x14:sparklines>
        </x14:sparklineGroup>
      </x14:sparklineGroups>
    </ex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6D69-DD63-46B6-8E68-97353409D454}">
  <dimension ref="A1:Q1167"/>
  <sheetViews>
    <sheetView topLeftCell="A5" workbookViewId="0">
      <selection activeCell="G91" sqref="G91"/>
    </sheetView>
  </sheetViews>
  <sheetFormatPr defaultRowHeight="14.4" x14ac:dyDescent="0.3"/>
  <cols>
    <col min="1" max="1" width="10.109375" bestFit="1" customWidth="1"/>
    <col min="2" max="2" width="12.33203125" bestFit="1" customWidth="1"/>
    <col min="3" max="3" width="7.109375" bestFit="1" customWidth="1"/>
    <col min="4" max="4" width="9.88671875" bestFit="1" customWidth="1"/>
    <col min="5" max="5" width="12.88671875" bestFit="1" customWidth="1"/>
    <col min="6" max="6" width="13.88671875" bestFit="1" customWidth="1"/>
    <col min="7" max="7" width="15" bestFit="1" customWidth="1"/>
    <col min="8" max="8" width="11" bestFit="1" customWidth="1"/>
    <col min="9" max="9" width="11.5546875" bestFit="1" customWidth="1"/>
    <col min="10" max="10" width="13.44140625" bestFit="1" customWidth="1"/>
    <col min="11" max="11" width="19.6640625" bestFit="1" customWidth="1"/>
    <col min="12" max="12" width="10.6640625" bestFit="1" customWidth="1"/>
    <col min="13" max="13" width="11.21875" bestFit="1" customWidth="1"/>
    <col min="14" max="14" width="14.6640625" bestFit="1" customWidth="1"/>
    <col min="15" max="15" width="11.77734375" bestFit="1" customWidth="1"/>
    <col min="16" max="16" width="10.5546875" bestFit="1" customWidth="1"/>
    <col min="17" max="17" width="10"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idden="1" x14ac:dyDescent="0.3">
      <c r="A2">
        <v>202400705</v>
      </c>
      <c r="B2" s="1">
        <v>45626</v>
      </c>
      <c r="C2">
        <v>2024</v>
      </c>
      <c r="D2">
        <v>4</v>
      </c>
      <c r="E2">
        <v>11</v>
      </c>
      <c r="F2">
        <v>10</v>
      </c>
      <c r="G2" s="2" t="s">
        <v>17</v>
      </c>
      <c r="H2" s="2" t="s">
        <v>18</v>
      </c>
      <c r="I2" s="2" t="s">
        <v>19</v>
      </c>
      <c r="J2" s="2" t="s">
        <v>20</v>
      </c>
      <c r="K2" s="2" t="s">
        <v>21</v>
      </c>
      <c r="L2">
        <v>12</v>
      </c>
      <c r="M2">
        <v>1157.47</v>
      </c>
      <c r="N2">
        <v>13889.64</v>
      </c>
      <c r="O2" t="s">
        <v>22</v>
      </c>
      <c r="P2" s="2" t="s">
        <v>23</v>
      </c>
      <c r="Q2" s="2" t="s">
        <v>24</v>
      </c>
    </row>
    <row r="3" spans="1:17" hidden="1" x14ac:dyDescent="0.3">
      <c r="A3">
        <v>202400909</v>
      </c>
      <c r="B3" s="1">
        <v>45583</v>
      </c>
      <c r="C3">
        <v>2024</v>
      </c>
      <c r="D3">
        <v>4</v>
      </c>
      <c r="E3">
        <v>10</v>
      </c>
      <c r="F3">
        <v>7</v>
      </c>
      <c r="G3" s="2" t="s">
        <v>25</v>
      </c>
      <c r="H3" s="2" t="s">
        <v>26</v>
      </c>
      <c r="I3" s="2" t="s">
        <v>27</v>
      </c>
      <c r="J3" s="2" t="s">
        <v>20</v>
      </c>
      <c r="K3" s="2" t="s">
        <v>28</v>
      </c>
      <c r="L3">
        <v>8</v>
      </c>
      <c r="M3">
        <v>992.42</v>
      </c>
      <c r="N3">
        <v>7939.36</v>
      </c>
      <c r="O3" t="s">
        <v>29</v>
      </c>
      <c r="P3" s="2" t="s">
        <v>30</v>
      </c>
      <c r="Q3" s="2" t="s">
        <v>24</v>
      </c>
    </row>
    <row r="4" spans="1:17" hidden="1" x14ac:dyDescent="0.3">
      <c r="A4">
        <v>202401159</v>
      </c>
      <c r="B4" s="1">
        <v>45443</v>
      </c>
      <c r="C4">
        <v>2024</v>
      </c>
      <c r="D4">
        <v>2</v>
      </c>
      <c r="E4">
        <v>5</v>
      </c>
      <c r="F4">
        <v>7</v>
      </c>
      <c r="G4" s="2" t="s">
        <v>25</v>
      </c>
      <c r="H4" s="2" t="s">
        <v>26</v>
      </c>
      <c r="I4" s="2" t="s">
        <v>27</v>
      </c>
      <c r="J4" s="2" t="s">
        <v>20</v>
      </c>
      <c r="K4" s="2" t="s">
        <v>21</v>
      </c>
      <c r="L4">
        <v>6</v>
      </c>
      <c r="M4">
        <v>1912.72</v>
      </c>
      <c r="N4">
        <v>11476.32</v>
      </c>
      <c r="O4" t="s">
        <v>29</v>
      </c>
      <c r="P4" s="2" t="s">
        <v>30</v>
      </c>
      <c r="Q4" s="2" t="s">
        <v>31</v>
      </c>
    </row>
    <row r="5" spans="1:17" x14ac:dyDescent="0.3">
      <c r="A5">
        <v>202400763</v>
      </c>
      <c r="B5" s="1">
        <v>45310</v>
      </c>
      <c r="C5">
        <v>2024</v>
      </c>
      <c r="D5">
        <v>1</v>
      </c>
      <c r="E5">
        <v>1</v>
      </c>
      <c r="F5">
        <v>2</v>
      </c>
      <c r="G5" s="2" t="s">
        <v>32</v>
      </c>
      <c r="H5" s="2" t="s">
        <v>140</v>
      </c>
      <c r="I5" s="2" t="s">
        <v>33</v>
      </c>
      <c r="J5" s="2" t="s">
        <v>34</v>
      </c>
      <c r="K5" s="2" t="s">
        <v>35</v>
      </c>
      <c r="L5">
        <v>2</v>
      </c>
      <c r="M5">
        <v>1482.51</v>
      </c>
      <c r="N5">
        <v>2965.02</v>
      </c>
      <c r="O5" t="s">
        <v>36</v>
      </c>
      <c r="P5" s="2" t="s">
        <v>30</v>
      </c>
      <c r="Q5" s="2" t="s">
        <v>24</v>
      </c>
    </row>
    <row r="6" spans="1:17" hidden="1" x14ac:dyDescent="0.3">
      <c r="A6">
        <v>202400211</v>
      </c>
      <c r="B6" s="1">
        <v>45508</v>
      </c>
      <c r="C6">
        <v>2024</v>
      </c>
      <c r="D6">
        <v>3</v>
      </c>
      <c r="E6">
        <v>8</v>
      </c>
      <c r="F6">
        <v>50</v>
      </c>
      <c r="G6" s="2" t="s">
        <v>37</v>
      </c>
      <c r="H6" s="2" t="s">
        <v>62</v>
      </c>
      <c r="I6" s="2" t="s">
        <v>38</v>
      </c>
      <c r="J6" s="2" t="s">
        <v>20</v>
      </c>
      <c r="K6" s="2" t="s">
        <v>39</v>
      </c>
      <c r="L6">
        <v>11</v>
      </c>
      <c r="M6">
        <v>1252.6500000000001</v>
      </c>
      <c r="N6">
        <v>13779.150000000001</v>
      </c>
      <c r="O6" t="s">
        <v>22</v>
      </c>
      <c r="P6" s="2" t="s">
        <v>30</v>
      </c>
      <c r="Q6" s="2" t="s">
        <v>40</v>
      </c>
    </row>
    <row r="7" spans="1:17" hidden="1" x14ac:dyDescent="0.3">
      <c r="A7">
        <v>202400045</v>
      </c>
      <c r="B7" s="1">
        <v>45576</v>
      </c>
      <c r="C7">
        <v>2024</v>
      </c>
      <c r="D7">
        <v>4</v>
      </c>
      <c r="E7">
        <v>10</v>
      </c>
      <c r="F7">
        <v>50</v>
      </c>
      <c r="G7" s="2" t="s">
        <v>37</v>
      </c>
      <c r="H7" s="2" t="s">
        <v>62</v>
      </c>
      <c r="I7" s="2" t="s">
        <v>38</v>
      </c>
      <c r="J7" s="2" t="s">
        <v>20</v>
      </c>
      <c r="K7" s="2" t="s">
        <v>28</v>
      </c>
      <c r="L7">
        <v>1</v>
      </c>
      <c r="M7">
        <v>343.63</v>
      </c>
      <c r="N7">
        <v>343.63</v>
      </c>
      <c r="O7" t="s">
        <v>36</v>
      </c>
      <c r="P7" s="2" t="s">
        <v>23</v>
      </c>
      <c r="Q7" s="2" t="s">
        <v>41</v>
      </c>
    </row>
    <row r="8" spans="1:17" hidden="1" x14ac:dyDescent="0.3">
      <c r="A8">
        <v>202400077</v>
      </c>
      <c r="B8" s="1">
        <v>45562</v>
      </c>
      <c r="C8">
        <v>2024</v>
      </c>
      <c r="D8">
        <v>3</v>
      </c>
      <c r="E8">
        <v>9</v>
      </c>
      <c r="F8">
        <v>50</v>
      </c>
      <c r="G8" s="2" t="s">
        <v>37</v>
      </c>
      <c r="H8" s="2" t="s">
        <v>62</v>
      </c>
      <c r="I8" s="2" t="s">
        <v>38</v>
      </c>
      <c r="J8" s="2" t="s">
        <v>20</v>
      </c>
      <c r="K8" s="2" t="s">
        <v>28</v>
      </c>
      <c r="L8">
        <v>14</v>
      </c>
      <c r="M8">
        <v>1369.54</v>
      </c>
      <c r="N8">
        <v>19173.559999999998</v>
      </c>
      <c r="O8" t="s">
        <v>22</v>
      </c>
      <c r="P8" s="2" t="s">
        <v>23</v>
      </c>
      <c r="Q8" s="2" t="s">
        <v>40</v>
      </c>
    </row>
    <row r="9" spans="1:17" hidden="1" x14ac:dyDescent="0.3">
      <c r="A9">
        <v>202400024</v>
      </c>
      <c r="B9" s="1">
        <v>45656</v>
      </c>
      <c r="C9">
        <v>2024</v>
      </c>
      <c r="D9">
        <v>4</v>
      </c>
      <c r="E9">
        <v>12</v>
      </c>
      <c r="F9">
        <v>50</v>
      </c>
      <c r="G9" s="2" t="s">
        <v>37</v>
      </c>
      <c r="H9" s="2" t="s">
        <v>62</v>
      </c>
      <c r="I9" s="2" t="s">
        <v>38</v>
      </c>
      <c r="J9" s="2" t="s">
        <v>20</v>
      </c>
      <c r="K9" s="2" t="s">
        <v>42</v>
      </c>
      <c r="L9">
        <v>4</v>
      </c>
      <c r="M9">
        <v>1829.01</v>
      </c>
      <c r="N9">
        <v>7316.04</v>
      </c>
      <c r="O9" t="s">
        <v>29</v>
      </c>
      <c r="P9" s="2" t="s">
        <v>43</v>
      </c>
      <c r="Q9" s="2" t="s">
        <v>24</v>
      </c>
    </row>
    <row r="10" spans="1:17" x14ac:dyDescent="0.3">
      <c r="A10">
        <v>202400600</v>
      </c>
      <c r="B10" s="1">
        <v>45382</v>
      </c>
      <c r="C10">
        <v>2024</v>
      </c>
      <c r="D10">
        <v>1</v>
      </c>
      <c r="E10">
        <v>3</v>
      </c>
      <c r="F10">
        <v>3</v>
      </c>
      <c r="G10" s="2" t="s">
        <v>44</v>
      </c>
      <c r="H10" s="2" t="s">
        <v>26</v>
      </c>
      <c r="I10" s="2" t="s">
        <v>38</v>
      </c>
      <c r="J10" s="2" t="s">
        <v>20</v>
      </c>
      <c r="K10" s="2" t="s">
        <v>28</v>
      </c>
      <c r="L10">
        <v>2</v>
      </c>
      <c r="M10">
        <v>48.2</v>
      </c>
      <c r="N10">
        <v>96.4</v>
      </c>
      <c r="O10" t="s">
        <v>36</v>
      </c>
      <c r="P10" s="2" t="s">
        <v>30</v>
      </c>
      <c r="Q10" s="2" t="s">
        <v>24</v>
      </c>
    </row>
    <row r="11" spans="1:17" x14ac:dyDescent="0.3">
      <c r="A11">
        <v>202400714</v>
      </c>
      <c r="B11" s="1">
        <v>45321</v>
      </c>
      <c r="C11">
        <v>2024</v>
      </c>
      <c r="D11">
        <v>1</v>
      </c>
      <c r="E11">
        <v>1</v>
      </c>
      <c r="F11">
        <v>3</v>
      </c>
      <c r="G11" s="2" t="s">
        <v>44</v>
      </c>
      <c r="H11" s="2" t="s">
        <v>26</v>
      </c>
      <c r="I11" s="2" t="s">
        <v>38</v>
      </c>
      <c r="J11" s="2" t="s">
        <v>20</v>
      </c>
      <c r="K11" s="2" t="s">
        <v>21</v>
      </c>
      <c r="L11">
        <v>5</v>
      </c>
      <c r="M11">
        <v>670.18</v>
      </c>
      <c r="N11">
        <v>3350.8999999999996</v>
      </c>
      <c r="O11" t="s">
        <v>29</v>
      </c>
      <c r="P11" s="2" t="s">
        <v>30</v>
      </c>
      <c r="Q11" s="2" t="s">
        <v>24</v>
      </c>
    </row>
    <row r="12" spans="1:17" hidden="1" x14ac:dyDescent="0.3">
      <c r="A12">
        <v>202400383</v>
      </c>
      <c r="B12" s="1">
        <v>45604</v>
      </c>
      <c r="C12">
        <v>2024</v>
      </c>
      <c r="D12">
        <v>4</v>
      </c>
      <c r="E12">
        <v>11</v>
      </c>
      <c r="F12">
        <v>3</v>
      </c>
      <c r="G12" s="2" t="s">
        <v>44</v>
      </c>
      <c r="H12" s="2" t="s">
        <v>26</v>
      </c>
      <c r="I12" s="2" t="s">
        <v>38</v>
      </c>
      <c r="J12" s="2" t="s">
        <v>20</v>
      </c>
      <c r="K12" s="2" t="s">
        <v>42</v>
      </c>
      <c r="L12">
        <v>9</v>
      </c>
      <c r="M12">
        <v>1627.41</v>
      </c>
      <c r="N12">
        <v>14646.69</v>
      </c>
      <c r="O12" t="s">
        <v>29</v>
      </c>
      <c r="P12" s="2" t="s">
        <v>43</v>
      </c>
      <c r="Q12" s="2" t="s">
        <v>45</v>
      </c>
    </row>
    <row r="13" spans="1:17" x14ac:dyDescent="0.3">
      <c r="A13">
        <v>202401010</v>
      </c>
      <c r="B13" s="1">
        <v>45340</v>
      </c>
      <c r="C13">
        <v>2024</v>
      </c>
      <c r="D13">
        <v>1</v>
      </c>
      <c r="E13">
        <v>2</v>
      </c>
      <c r="F13">
        <v>3</v>
      </c>
      <c r="G13" s="2" t="s">
        <v>44</v>
      </c>
      <c r="H13" s="2" t="s">
        <v>26</v>
      </c>
      <c r="I13" s="2" t="s">
        <v>38</v>
      </c>
      <c r="J13" s="2" t="s">
        <v>20</v>
      </c>
      <c r="K13" s="2" t="s">
        <v>42</v>
      </c>
      <c r="L13">
        <v>14</v>
      </c>
      <c r="M13">
        <v>1124.03</v>
      </c>
      <c r="N13">
        <v>15736.42</v>
      </c>
      <c r="O13" t="s">
        <v>22</v>
      </c>
      <c r="P13" s="2" t="s">
        <v>30</v>
      </c>
      <c r="Q13" s="2" t="s">
        <v>24</v>
      </c>
    </row>
    <row r="14" spans="1:17" hidden="1" x14ac:dyDescent="0.3">
      <c r="A14">
        <v>202400307</v>
      </c>
      <c r="B14" s="1">
        <v>45580</v>
      </c>
      <c r="C14">
        <v>2024</v>
      </c>
      <c r="D14">
        <v>4</v>
      </c>
      <c r="E14">
        <v>10</v>
      </c>
      <c r="F14">
        <v>42</v>
      </c>
      <c r="G14" s="2" t="s">
        <v>46</v>
      </c>
      <c r="H14" s="2" t="s">
        <v>26</v>
      </c>
      <c r="I14" s="2" t="s">
        <v>38</v>
      </c>
      <c r="J14" s="2" t="s">
        <v>20</v>
      </c>
      <c r="K14" s="2" t="s">
        <v>47</v>
      </c>
      <c r="L14">
        <v>3</v>
      </c>
      <c r="M14">
        <v>344.54</v>
      </c>
      <c r="N14">
        <v>1033.6200000000001</v>
      </c>
      <c r="O14" t="s">
        <v>29</v>
      </c>
      <c r="P14" s="2" t="s">
        <v>48</v>
      </c>
      <c r="Q14" s="2" t="s">
        <v>49</v>
      </c>
    </row>
    <row r="15" spans="1:17" hidden="1" x14ac:dyDescent="0.3">
      <c r="A15">
        <v>202401070</v>
      </c>
      <c r="B15" s="1">
        <v>45451</v>
      </c>
      <c r="C15">
        <v>2024</v>
      </c>
      <c r="D15">
        <v>2</v>
      </c>
      <c r="E15">
        <v>6</v>
      </c>
      <c r="F15">
        <v>42</v>
      </c>
      <c r="G15" s="2" t="s">
        <v>46</v>
      </c>
      <c r="H15" s="2" t="s">
        <v>26</v>
      </c>
      <c r="I15" s="2" t="s">
        <v>38</v>
      </c>
      <c r="J15" s="2" t="s">
        <v>20</v>
      </c>
      <c r="K15" s="2" t="s">
        <v>50</v>
      </c>
      <c r="L15">
        <v>10</v>
      </c>
      <c r="M15">
        <v>692.36</v>
      </c>
      <c r="N15">
        <v>6923.6</v>
      </c>
      <c r="O15" t="s">
        <v>22</v>
      </c>
      <c r="P15" s="2" t="s">
        <v>30</v>
      </c>
      <c r="Q15" s="2" t="s">
        <v>41</v>
      </c>
    </row>
    <row r="16" spans="1:17" hidden="1" x14ac:dyDescent="0.3">
      <c r="A16">
        <v>202400757</v>
      </c>
      <c r="B16" s="1">
        <v>45551</v>
      </c>
      <c r="C16">
        <v>2024</v>
      </c>
      <c r="D16">
        <v>3</v>
      </c>
      <c r="E16">
        <v>9</v>
      </c>
      <c r="F16">
        <v>42</v>
      </c>
      <c r="G16" s="2" t="s">
        <v>46</v>
      </c>
      <c r="H16" s="2" t="s">
        <v>26</v>
      </c>
      <c r="I16" s="2" t="s">
        <v>38</v>
      </c>
      <c r="J16" s="2" t="s">
        <v>20</v>
      </c>
      <c r="K16" s="2" t="s">
        <v>51</v>
      </c>
      <c r="L16">
        <v>2</v>
      </c>
      <c r="M16">
        <v>581.66</v>
      </c>
      <c r="N16">
        <v>1163.32</v>
      </c>
      <c r="O16" t="s">
        <v>36</v>
      </c>
      <c r="P16" s="2" t="s">
        <v>43</v>
      </c>
      <c r="Q16" s="2" t="s">
        <v>24</v>
      </c>
    </row>
    <row r="17" spans="1:17" hidden="1" x14ac:dyDescent="0.3">
      <c r="A17">
        <v>202401114</v>
      </c>
      <c r="B17" s="1">
        <v>45617</v>
      </c>
      <c r="C17">
        <v>2024</v>
      </c>
      <c r="D17">
        <v>4</v>
      </c>
      <c r="E17">
        <v>11</v>
      </c>
      <c r="F17">
        <v>42</v>
      </c>
      <c r="G17" s="2" t="s">
        <v>46</v>
      </c>
      <c r="H17" s="2" t="s">
        <v>26</v>
      </c>
      <c r="I17" s="2" t="s">
        <v>38</v>
      </c>
      <c r="J17" s="2" t="s">
        <v>20</v>
      </c>
      <c r="K17" s="2" t="s">
        <v>52</v>
      </c>
      <c r="L17">
        <v>8</v>
      </c>
      <c r="M17">
        <v>1887</v>
      </c>
      <c r="N17">
        <v>15096</v>
      </c>
      <c r="O17" t="s">
        <v>29</v>
      </c>
      <c r="P17" s="2" t="s">
        <v>43</v>
      </c>
      <c r="Q17" s="2" t="s">
        <v>24</v>
      </c>
    </row>
    <row r="18" spans="1:17" hidden="1" x14ac:dyDescent="0.3">
      <c r="A18">
        <v>202400479</v>
      </c>
      <c r="B18" s="1">
        <v>45487</v>
      </c>
      <c r="C18">
        <v>2024</v>
      </c>
      <c r="D18">
        <v>3</v>
      </c>
      <c r="E18">
        <v>7</v>
      </c>
      <c r="F18">
        <v>57</v>
      </c>
      <c r="G18" s="2" t="s">
        <v>53</v>
      </c>
      <c r="H18" s="2" t="s">
        <v>18</v>
      </c>
      <c r="I18" s="2" t="s">
        <v>54</v>
      </c>
      <c r="J18" s="2" t="s">
        <v>20</v>
      </c>
      <c r="K18" s="2" t="s">
        <v>47</v>
      </c>
      <c r="L18">
        <v>12</v>
      </c>
      <c r="M18">
        <v>560.91</v>
      </c>
      <c r="N18">
        <v>6730.92</v>
      </c>
      <c r="O18" t="s">
        <v>22</v>
      </c>
      <c r="P18" s="2" t="s">
        <v>43</v>
      </c>
      <c r="Q18" s="2" t="s">
        <v>24</v>
      </c>
    </row>
    <row r="19" spans="1:17" hidden="1" x14ac:dyDescent="0.3">
      <c r="A19">
        <v>202400529</v>
      </c>
      <c r="B19" s="1">
        <v>45437</v>
      </c>
      <c r="C19">
        <v>2024</v>
      </c>
      <c r="D19">
        <v>2</v>
      </c>
      <c r="E19">
        <v>5</v>
      </c>
      <c r="F19">
        <v>57</v>
      </c>
      <c r="G19" s="2" t="s">
        <v>53</v>
      </c>
      <c r="H19" s="2" t="s">
        <v>18</v>
      </c>
      <c r="I19" s="2" t="s">
        <v>54</v>
      </c>
      <c r="J19" s="2" t="s">
        <v>20</v>
      </c>
      <c r="K19" s="2" t="s">
        <v>47</v>
      </c>
      <c r="L19">
        <v>10</v>
      </c>
      <c r="M19">
        <v>840.64</v>
      </c>
      <c r="N19">
        <v>8406.4</v>
      </c>
      <c r="O19" t="s">
        <v>22</v>
      </c>
      <c r="P19" s="2" t="s">
        <v>43</v>
      </c>
      <c r="Q19" s="2" t="s">
        <v>41</v>
      </c>
    </row>
    <row r="20" spans="1:17" x14ac:dyDescent="0.3">
      <c r="A20">
        <v>202401163</v>
      </c>
      <c r="B20" s="1">
        <v>45372</v>
      </c>
      <c r="C20">
        <v>2024</v>
      </c>
      <c r="D20">
        <v>1</v>
      </c>
      <c r="E20">
        <v>3</v>
      </c>
      <c r="F20">
        <v>6</v>
      </c>
      <c r="G20" s="2" t="s">
        <v>55</v>
      </c>
      <c r="H20" s="2" t="s">
        <v>26</v>
      </c>
      <c r="I20" s="2" t="s">
        <v>56</v>
      </c>
      <c r="J20" s="2" t="s">
        <v>57</v>
      </c>
      <c r="K20" s="2" t="s">
        <v>58</v>
      </c>
      <c r="L20">
        <v>7</v>
      </c>
      <c r="M20">
        <v>232.62</v>
      </c>
      <c r="N20">
        <v>1628.3400000000001</v>
      </c>
      <c r="O20" t="s">
        <v>29</v>
      </c>
      <c r="P20" s="2" t="s">
        <v>30</v>
      </c>
      <c r="Q20" s="2" t="s">
        <v>24</v>
      </c>
    </row>
    <row r="21" spans="1:17" hidden="1" x14ac:dyDescent="0.3">
      <c r="A21">
        <v>202400372</v>
      </c>
      <c r="B21" s="1">
        <v>45451</v>
      </c>
      <c r="C21">
        <v>2024</v>
      </c>
      <c r="D21">
        <v>2</v>
      </c>
      <c r="E21">
        <v>6</v>
      </c>
      <c r="F21">
        <v>6</v>
      </c>
      <c r="G21" s="2" t="s">
        <v>55</v>
      </c>
      <c r="H21" s="2" t="s">
        <v>26</v>
      </c>
      <c r="I21" s="2" t="s">
        <v>56</v>
      </c>
      <c r="J21" s="2" t="s">
        <v>57</v>
      </c>
      <c r="K21" s="2" t="s">
        <v>59</v>
      </c>
      <c r="L21">
        <v>6</v>
      </c>
      <c r="M21">
        <v>1414.67</v>
      </c>
      <c r="N21">
        <v>8488.02</v>
      </c>
      <c r="O21" t="s">
        <v>29</v>
      </c>
      <c r="P21" s="2" t="s">
        <v>43</v>
      </c>
      <c r="Q21" s="2" t="s">
        <v>24</v>
      </c>
    </row>
    <row r="22" spans="1:17" hidden="1" x14ac:dyDescent="0.3">
      <c r="A22">
        <v>202401034</v>
      </c>
      <c r="B22" s="1">
        <v>45647</v>
      </c>
      <c r="C22">
        <v>2024</v>
      </c>
      <c r="D22">
        <v>4</v>
      </c>
      <c r="E22">
        <v>12</v>
      </c>
      <c r="F22">
        <v>6</v>
      </c>
      <c r="G22" s="2" t="s">
        <v>55</v>
      </c>
      <c r="H22" s="2" t="s">
        <v>26</v>
      </c>
      <c r="I22" s="2" t="s">
        <v>56</v>
      </c>
      <c r="J22" s="2" t="s">
        <v>57</v>
      </c>
      <c r="K22" s="2" t="s">
        <v>60</v>
      </c>
      <c r="L22">
        <v>1</v>
      </c>
      <c r="M22">
        <v>82.6</v>
      </c>
      <c r="N22">
        <v>82.6</v>
      </c>
      <c r="O22" t="s">
        <v>36</v>
      </c>
      <c r="P22" s="2" t="s">
        <v>48</v>
      </c>
      <c r="Q22" s="2" t="s">
        <v>24</v>
      </c>
    </row>
    <row r="23" spans="1:17" x14ac:dyDescent="0.3">
      <c r="A23">
        <v>202400949</v>
      </c>
      <c r="B23" s="1">
        <v>45374</v>
      </c>
      <c r="C23">
        <v>2024</v>
      </c>
      <c r="D23">
        <v>1</v>
      </c>
      <c r="E23">
        <v>3</v>
      </c>
      <c r="F23">
        <v>29</v>
      </c>
      <c r="G23" s="2" t="s">
        <v>61</v>
      </c>
      <c r="H23" s="2" t="s">
        <v>62</v>
      </c>
      <c r="I23" s="2" t="s">
        <v>19</v>
      </c>
      <c r="J23" s="2" t="s">
        <v>20</v>
      </c>
      <c r="K23" s="2" t="s">
        <v>52</v>
      </c>
      <c r="L23">
        <v>3</v>
      </c>
      <c r="M23">
        <v>1916.84</v>
      </c>
      <c r="N23">
        <v>5750.5199999999995</v>
      </c>
      <c r="O23" t="s">
        <v>29</v>
      </c>
      <c r="P23" s="2" t="s">
        <v>30</v>
      </c>
      <c r="Q23" s="2" t="s">
        <v>24</v>
      </c>
    </row>
    <row r="24" spans="1:17" hidden="1" x14ac:dyDescent="0.3">
      <c r="A24">
        <v>202400876</v>
      </c>
      <c r="B24" s="1">
        <v>45522</v>
      </c>
      <c r="C24">
        <v>2024</v>
      </c>
      <c r="D24">
        <v>3</v>
      </c>
      <c r="E24">
        <v>8</v>
      </c>
      <c r="F24">
        <v>8</v>
      </c>
      <c r="G24" s="2" t="s">
        <v>63</v>
      </c>
      <c r="H24" s="2" t="s">
        <v>26</v>
      </c>
      <c r="I24" s="2" t="s">
        <v>54</v>
      </c>
      <c r="J24" s="2" t="s">
        <v>20</v>
      </c>
      <c r="K24" s="2" t="s">
        <v>58</v>
      </c>
      <c r="L24">
        <v>1</v>
      </c>
      <c r="M24">
        <v>340.25</v>
      </c>
      <c r="N24">
        <v>340.25</v>
      </c>
      <c r="O24" t="s">
        <v>36</v>
      </c>
      <c r="P24" s="2" t="s">
        <v>30</v>
      </c>
      <c r="Q24" s="2" t="s">
        <v>45</v>
      </c>
    </row>
    <row r="25" spans="1:17" hidden="1" x14ac:dyDescent="0.3">
      <c r="A25">
        <v>202400598</v>
      </c>
      <c r="B25" s="1">
        <v>45398</v>
      </c>
      <c r="C25">
        <v>2024</v>
      </c>
      <c r="D25">
        <v>2</v>
      </c>
      <c r="E25">
        <v>4</v>
      </c>
      <c r="F25">
        <v>63</v>
      </c>
      <c r="G25" s="2" t="s">
        <v>64</v>
      </c>
      <c r="H25" s="2" t="s">
        <v>69</v>
      </c>
      <c r="I25" s="2" t="s">
        <v>65</v>
      </c>
      <c r="J25" s="2" t="s">
        <v>34</v>
      </c>
      <c r="K25" s="2" t="s">
        <v>58</v>
      </c>
      <c r="L25">
        <v>1</v>
      </c>
      <c r="M25">
        <v>1121.4100000000001</v>
      </c>
      <c r="N25">
        <v>1121.4100000000001</v>
      </c>
      <c r="O25" t="s">
        <v>36</v>
      </c>
      <c r="P25" s="2" t="s">
        <v>43</v>
      </c>
      <c r="Q25" s="2" t="s">
        <v>45</v>
      </c>
    </row>
    <row r="26" spans="1:17" hidden="1" x14ac:dyDescent="0.3">
      <c r="A26">
        <v>202400782</v>
      </c>
      <c r="B26" s="1">
        <v>45536</v>
      </c>
      <c r="C26">
        <v>2024</v>
      </c>
      <c r="D26">
        <v>3</v>
      </c>
      <c r="E26">
        <v>9</v>
      </c>
      <c r="F26">
        <v>63</v>
      </c>
      <c r="G26" s="2" t="s">
        <v>64</v>
      </c>
      <c r="H26" s="2" t="s">
        <v>69</v>
      </c>
      <c r="I26" s="2" t="s">
        <v>65</v>
      </c>
      <c r="J26" s="2" t="s">
        <v>34</v>
      </c>
      <c r="K26" s="2" t="s">
        <v>60</v>
      </c>
      <c r="L26">
        <v>10</v>
      </c>
      <c r="M26">
        <v>69.790000000000006</v>
      </c>
      <c r="N26">
        <v>697.90000000000009</v>
      </c>
      <c r="O26" t="s">
        <v>22</v>
      </c>
      <c r="P26" s="2" t="s">
        <v>30</v>
      </c>
      <c r="Q26" s="2" t="s">
        <v>24</v>
      </c>
    </row>
    <row r="27" spans="1:17" x14ac:dyDescent="0.3">
      <c r="A27">
        <v>202400839</v>
      </c>
      <c r="B27" s="1">
        <v>45322</v>
      </c>
      <c r="C27">
        <v>2024</v>
      </c>
      <c r="D27">
        <v>1</v>
      </c>
      <c r="E27">
        <v>1</v>
      </c>
      <c r="F27">
        <v>11</v>
      </c>
      <c r="G27" s="2" t="s">
        <v>66</v>
      </c>
      <c r="H27" s="2" t="s">
        <v>18</v>
      </c>
      <c r="I27" s="2" t="s">
        <v>67</v>
      </c>
      <c r="J27" s="2" t="s">
        <v>20</v>
      </c>
      <c r="K27" s="2" t="s">
        <v>39</v>
      </c>
      <c r="L27">
        <v>3</v>
      </c>
      <c r="M27">
        <v>1730.22</v>
      </c>
      <c r="N27">
        <v>5190.66</v>
      </c>
      <c r="O27" t="s">
        <v>29</v>
      </c>
      <c r="P27" s="2" t="s">
        <v>43</v>
      </c>
      <c r="Q27" s="2" t="s">
        <v>24</v>
      </c>
    </row>
    <row r="28" spans="1:17" hidden="1" x14ac:dyDescent="0.3">
      <c r="A28">
        <v>202400232</v>
      </c>
      <c r="B28" s="1">
        <v>45455</v>
      </c>
      <c r="C28">
        <v>2024</v>
      </c>
      <c r="D28">
        <v>2</v>
      </c>
      <c r="E28">
        <v>6</v>
      </c>
      <c r="F28">
        <v>54</v>
      </c>
      <c r="G28" s="2" t="s">
        <v>68</v>
      </c>
      <c r="H28" s="2" t="s">
        <v>69</v>
      </c>
      <c r="I28" s="2" t="s">
        <v>19</v>
      </c>
      <c r="J28" s="2" t="s">
        <v>20</v>
      </c>
      <c r="K28" s="2" t="s">
        <v>70</v>
      </c>
      <c r="L28">
        <v>2</v>
      </c>
      <c r="M28">
        <v>398.51</v>
      </c>
      <c r="N28">
        <v>797.02</v>
      </c>
      <c r="O28" t="s">
        <v>36</v>
      </c>
      <c r="P28" s="2" t="s">
        <v>30</v>
      </c>
      <c r="Q28" s="2" t="s">
        <v>41</v>
      </c>
    </row>
    <row r="29" spans="1:17" hidden="1" x14ac:dyDescent="0.3">
      <c r="A29">
        <v>202400694</v>
      </c>
      <c r="B29" s="1">
        <v>45478</v>
      </c>
      <c r="C29">
        <v>2024</v>
      </c>
      <c r="D29">
        <v>3</v>
      </c>
      <c r="E29">
        <v>7</v>
      </c>
      <c r="F29">
        <v>54</v>
      </c>
      <c r="G29" s="2" t="s">
        <v>68</v>
      </c>
      <c r="H29" s="2" t="s">
        <v>69</v>
      </c>
      <c r="I29" s="2" t="s">
        <v>19</v>
      </c>
      <c r="J29" s="2" t="s">
        <v>20</v>
      </c>
      <c r="K29" s="2" t="s">
        <v>60</v>
      </c>
      <c r="L29">
        <v>6</v>
      </c>
      <c r="M29">
        <v>1446.15</v>
      </c>
      <c r="N29">
        <v>8676.9000000000015</v>
      </c>
      <c r="O29" t="s">
        <v>29</v>
      </c>
      <c r="P29" s="2" t="s">
        <v>43</v>
      </c>
      <c r="Q29" s="2" t="s">
        <v>24</v>
      </c>
    </row>
    <row r="30" spans="1:17" hidden="1" x14ac:dyDescent="0.3">
      <c r="A30">
        <v>202400889</v>
      </c>
      <c r="B30" s="1">
        <v>45465</v>
      </c>
      <c r="C30">
        <v>2024</v>
      </c>
      <c r="D30">
        <v>2</v>
      </c>
      <c r="E30">
        <v>6</v>
      </c>
      <c r="F30">
        <v>54</v>
      </c>
      <c r="G30" s="2" t="s">
        <v>68</v>
      </c>
      <c r="H30" s="2" t="s">
        <v>69</v>
      </c>
      <c r="I30" s="2" t="s">
        <v>19</v>
      </c>
      <c r="J30" s="2" t="s">
        <v>20</v>
      </c>
      <c r="K30" s="2" t="s">
        <v>71</v>
      </c>
      <c r="L30">
        <v>11</v>
      </c>
      <c r="M30">
        <v>1739.06</v>
      </c>
      <c r="N30">
        <v>19129.66</v>
      </c>
      <c r="O30" t="s">
        <v>22</v>
      </c>
      <c r="P30" s="2" t="s">
        <v>30</v>
      </c>
      <c r="Q30" s="2" t="s">
        <v>41</v>
      </c>
    </row>
    <row r="31" spans="1:17" hidden="1" x14ac:dyDescent="0.3">
      <c r="A31">
        <v>202400568</v>
      </c>
      <c r="B31" s="1">
        <v>45421</v>
      </c>
      <c r="C31">
        <v>2024</v>
      </c>
      <c r="D31">
        <v>2</v>
      </c>
      <c r="E31">
        <v>5</v>
      </c>
      <c r="F31">
        <v>13</v>
      </c>
      <c r="G31" s="2" t="s">
        <v>72</v>
      </c>
      <c r="H31" s="2" t="s">
        <v>69</v>
      </c>
      <c r="I31" s="2" t="s">
        <v>38</v>
      </c>
      <c r="J31" s="2" t="s">
        <v>20</v>
      </c>
      <c r="K31" s="2" t="s">
        <v>47</v>
      </c>
      <c r="L31">
        <v>7</v>
      </c>
      <c r="M31">
        <v>576.42999999999995</v>
      </c>
      <c r="N31">
        <v>4035.0099999999998</v>
      </c>
      <c r="O31" t="s">
        <v>29</v>
      </c>
      <c r="P31" s="2" t="s">
        <v>43</v>
      </c>
      <c r="Q31" s="2" t="s">
        <v>24</v>
      </c>
    </row>
    <row r="32" spans="1:17" hidden="1" x14ac:dyDescent="0.3">
      <c r="A32">
        <v>202400426</v>
      </c>
      <c r="B32" s="1">
        <v>45570</v>
      </c>
      <c r="C32">
        <v>2024</v>
      </c>
      <c r="D32">
        <v>4</v>
      </c>
      <c r="E32">
        <v>10</v>
      </c>
      <c r="F32">
        <v>59</v>
      </c>
      <c r="G32" s="2" t="s">
        <v>73</v>
      </c>
      <c r="H32" s="2" t="s">
        <v>62</v>
      </c>
      <c r="I32" s="2" t="s">
        <v>74</v>
      </c>
      <c r="J32" s="2" t="s">
        <v>75</v>
      </c>
      <c r="K32" s="2" t="s">
        <v>47</v>
      </c>
      <c r="L32">
        <v>6</v>
      </c>
      <c r="M32">
        <v>428.77</v>
      </c>
      <c r="N32">
        <v>2572.62</v>
      </c>
      <c r="O32" t="s">
        <v>29</v>
      </c>
      <c r="P32" s="2" t="s">
        <v>43</v>
      </c>
      <c r="Q32" s="2" t="s">
        <v>24</v>
      </c>
    </row>
    <row r="33" spans="1:17" hidden="1" x14ac:dyDescent="0.3">
      <c r="A33">
        <v>202401165</v>
      </c>
      <c r="B33" s="1">
        <v>45524</v>
      </c>
      <c r="C33">
        <v>2024</v>
      </c>
      <c r="D33">
        <v>3</v>
      </c>
      <c r="E33">
        <v>8</v>
      </c>
      <c r="F33">
        <v>80</v>
      </c>
      <c r="G33" s="2" t="s">
        <v>76</v>
      </c>
      <c r="H33" s="2" t="s">
        <v>26</v>
      </c>
      <c r="I33" s="2" t="s">
        <v>54</v>
      </c>
      <c r="J33" s="2" t="s">
        <v>20</v>
      </c>
      <c r="K33" s="2" t="s">
        <v>42</v>
      </c>
      <c r="L33">
        <v>6</v>
      </c>
      <c r="M33">
        <v>275.35000000000002</v>
      </c>
      <c r="N33">
        <v>1652.1000000000001</v>
      </c>
      <c r="O33" t="s">
        <v>29</v>
      </c>
      <c r="P33" s="2" t="s">
        <v>30</v>
      </c>
      <c r="Q33" s="2" t="s">
        <v>41</v>
      </c>
    </row>
    <row r="34" spans="1:17" x14ac:dyDescent="0.3">
      <c r="A34">
        <v>202400324</v>
      </c>
      <c r="B34" s="1">
        <v>45293</v>
      </c>
      <c r="C34">
        <v>2024</v>
      </c>
      <c r="D34">
        <v>1</v>
      </c>
      <c r="E34">
        <v>1</v>
      </c>
      <c r="F34">
        <v>80</v>
      </c>
      <c r="G34" s="2" t="s">
        <v>76</v>
      </c>
      <c r="H34" s="2" t="s">
        <v>26</v>
      </c>
      <c r="I34" s="2" t="s">
        <v>54</v>
      </c>
      <c r="J34" s="2" t="s">
        <v>20</v>
      </c>
      <c r="K34" s="2" t="s">
        <v>60</v>
      </c>
      <c r="L34">
        <v>10</v>
      </c>
      <c r="M34">
        <v>996.52</v>
      </c>
      <c r="N34">
        <v>9965.2000000000007</v>
      </c>
      <c r="O34" t="s">
        <v>22</v>
      </c>
      <c r="P34" s="2" t="s">
        <v>48</v>
      </c>
      <c r="Q34" s="2" t="s">
        <v>24</v>
      </c>
    </row>
    <row r="35" spans="1:17" hidden="1" x14ac:dyDescent="0.3">
      <c r="A35">
        <v>202400082</v>
      </c>
      <c r="B35" s="1">
        <v>45450</v>
      </c>
      <c r="C35">
        <v>2024</v>
      </c>
      <c r="D35">
        <v>2</v>
      </c>
      <c r="E35">
        <v>6</v>
      </c>
      <c r="F35">
        <v>17</v>
      </c>
      <c r="G35" s="2" t="s">
        <v>77</v>
      </c>
      <c r="H35" s="2" t="s">
        <v>69</v>
      </c>
      <c r="I35" s="2" t="s">
        <v>78</v>
      </c>
      <c r="J35" s="2" t="s">
        <v>75</v>
      </c>
      <c r="K35" s="2" t="s">
        <v>51</v>
      </c>
      <c r="L35">
        <v>13</v>
      </c>
      <c r="M35">
        <v>979.16</v>
      </c>
      <c r="N35">
        <v>12729.08</v>
      </c>
      <c r="O35" t="s">
        <v>22</v>
      </c>
      <c r="P35" s="2" t="s">
        <v>48</v>
      </c>
      <c r="Q35" s="2" t="s">
        <v>24</v>
      </c>
    </row>
    <row r="36" spans="1:17" hidden="1" x14ac:dyDescent="0.3">
      <c r="A36">
        <v>202401153</v>
      </c>
      <c r="B36" s="1">
        <v>45532</v>
      </c>
      <c r="C36">
        <v>2024</v>
      </c>
      <c r="D36">
        <v>3</v>
      </c>
      <c r="E36">
        <v>8</v>
      </c>
      <c r="F36">
        <v>22</v>
      </c>
      <c r="G36" s="2" t="s">
        <v>79</v>
      </c>
      <c r="H36" s="2" t="s">
        <v>18</v>
      </c>
      <c r="I36" s="2" t="s">
        <v>65</v>
      </c>
      <c r="J36" s="2" t="s">
        <v>34</v>
      </c>
      <c r="K36" s="2" t="s">
        <v>50</v>
      </c>
      <c r="L36">
        <v>5</v>
      </c>
      <c r="M36">
        <v>488.08</v>
      </c>
      <c r="N36">
        <v>2440.4</v>
      </c>
      <c r="O36" t="s">
        <v>29</v>
      </c>
      <c r="P36" s="2" t="s">
        <v>43</v>
      </c>
      <c r="Q36" s="2" t="s">
        <v>40</v>
      </c>
    </row>
    <row r="37" spans="1:17" hidden="1" x14ac:dyDescent="0.3">
      <c r="A37">
        <v>202400345</v>
      </c>
      <c r="B37" s="1">
        <v>45541</v>
      </c>
      <c r="C37">
        <v>2024</v>
      </c>
      <c r="D37">
        <v>3</v>
      </c>
      <c r="E37">
        <v>9</v>
      </c>
      <c r="F37">
        <v>22</v>
      </c>
      <c r="G37" s="2" t="s">
        <v>79</v>
      </c>
      <c r="H37" s="2" t="s">
        <v>18</v>
      </c>
      <c r="I37" s="2" t="s">
        <v>65</v>
      </c>
      <c r="J37" s="2" t="s">
        <v>34</v>
      </c>
      <c r="K37" s="2" t="s">
        <v>42</v>
      </c>
      <c r="L37">
        <v>4</v>
      </c>
      <c r="M37">
        <v>1350.25</v>
      </c>
      <c r="N37">
        <v>5401</v>
      </c>
      <c r="O37" t="s">
        <v>29</v>
      </c>
      <c r="P37" s="2" t="s">
        <v>30</v>
      </c>
      <c r="Q37" s="2" t="s">
        <v>24</v>
      </c>
    </row>
    <row r="38" spans="1:17" x14ac:dyDescent="0.3">
      <c r="A38">
        <v>202400295</v>
      </c>
      <c r="B38" s="1">
        <v>45313</v>
      </c>
      <c r="C38">
        <v>2024</v>
      </c>
      <c r="D38">
        <v>1</v>
      </c>
      <c r="E38">
        <v>1</v>
      </c>
      <c r="F38">
        <v>71</v>
      </c>
      <c r="G38" s="2" t="s">
        <v>80</v>
      </c>
      <c r="H38" s="2" t="s">
        <v>18</v>
      </c>
      <c r="I38" s="2" t="s">
        <v>65</v>
      </c>
      <c r="J38" s="2" t="s">
        <v>34</v>
      </c>
      <c r="K38" s="2" t="s">
        <v>47</v>
      </c>
      <c r="L38">
        <v>4</v>
      </c>
      <c r="M38">
        <v>468.44</v>
      </c>
      <c r="N38">
        <v>1873.76</v>
      </c>
      <c r="O38" t="s">
        <v>29</v>
      </c>
      <c r="P38" s="2" t="s">
        <v>30</v>
      </c>
      <c r="Q38" s="2" t="s">
        <v>40</v>
      </c>
    </row>
    <row r="39" spans="1:17" hidden="1" x14ac:dyDescent="0.3">
      <c r="A39">
        <v>202400430</v>
      </c>
      <c r="B39" s="1">
        <v>45482</v>
      </c>
      <c r="C39">
        <v>2024</v>
      </c>
      <c r="D39">
        <v>3</v>
      </c>
      <c r="E39">
        <v>7</v>
      </c>
      <c r="F39">
        <v>20</v>
      </c>
      <c r="G39" s="2" t="s">
        <v>81</v>
      </c>
      <c r="H39" s="2" t="s">
        <v>69</v>
      </c>
      <c r="I39" s="2" t="s">
        <v>56</v>
      </c>
      <c r="J39" s="2" t="s">
        <v>57</v>
      </c>
      <c r="K39" s="2" t="s">
        <v>59</v>
      </c>
      <c r="L39">
        <v>6</v>
      </c>
      <c r="M39">
        <v>496.58</v>
      </c>
      <c r="N39">
        <v>2979.48</v>
      </c>
      <c r="O39" t="s">
        <v>29</v>
      </c>
      <c r="P39" s="2" t="s">
        <v>23</v>
      </c>
      <c r="Q39" s="2" t="s">
        <v>24</v>
      </c>
    </row>
    <row r="40" spans="1:17" hidden="1" x14ac:dyDescent="0.3">
      <c r="A40">
        <v>202400333</v>
      </c>
      <c r="B40" s="1">
        <v>45455</v>
      </c>
      <c r="C40">
        <v>2024</v>
      </c>
      <c r="D40">
        <v>2</v>
      </c>
      <c r="E40">
        <v>6</v>
      </c>
      <c r="F40">
        <v>20</v>
      </c>
      <c r="G40" s="2" t="s">
        <v>81</v>
      </c>
      <c r="H40" s="2" t="s">
        <v>69</v>
      </c>
      <c r="I40" s="2" t="s">
        <v>56</v>
      </c>
      <c r="J40" s="2" t="s">
        <v>57</v>
      </c>
      <c r="K40" s="2" t="s">
        <v>21</v>
      </c>
      <c r="L40">
        <v>7</v>
      </c>
      <c r="M40">
        <v>1249.4100000000001</v>
      </c>
      <c r="N40">
        <v>8745.8700000000008</v>
      </c>
      <c r="O40" t="s">
        <v>29</v>
      </c>
      <c r="P40" s="2" t="s">
        <v>23</v>
      </c>
      <c r="Q40" s="2" t="s">
        <v>24</v>
      </c>
    </row>
    <row r="41" spans="1:17" hidden="1" x14ac:dyDescent="0.3">
      <c r="A41">
        <v>202400452</v>
      </c>
      <c r="B41" s="1">
        <v>45548</v>
      </c>
      <c r="C41">
        <v>2024</v>
      </c>
      <c r="D41">
        <v>3</v>
      </c>
      <c r="E41">
        <v>9</v>
      </c>
      <c r="F41">
        <v>48</v>
      </c>
      <c r="G41" s="2" t="s">
        <v>82</v>
      </c>
      <c r="H41" s="2" t="s">
        <v>140</v>
      </c>
      <c r="I41" s="2" t="s">
        <v>78</v>
      </c>
      <c r="J41" s="2" t="s">
        <v>75</v>
      </c>
      <c r="K41" s="2" t="s">
        <v>52</v>
      </c>
      <c r="L41">
        <v>6</v>
      </c>
      <c r="M41">
        <v>1177.81</v>
      </c>
      <c r="N41">
        <v>7066.86</v>
      </c>
      <c r="O41" t="s">
        <v>29</v>
      </c>
      <c r="P41" s="2" t="s">
        <v>43</v>
      </c>
      <c r="Q41" s="2" t="s">
        <v>24</v>
      </c>
    </row>
    <row r="42" spans="1:17" x14ac:dyDescent="0.3">
      <c r="A42">
        <v>202400197</v>
      </c>
      <c r="B42" s="1">
        <v>45359</v>
      </c>
      <c r="C42">
        <v>2024</v>
      </c>
      <c r="D42">
        <v>1</v>
      </c>
      <c r="E42">
        <v>3</v>
      </c>
      <c r="F42">
        <v>48</v>
      </c>
      <c r="G42" s="2" t="s">
        <v>82</v>
      </c>
      <c r="H42" s="2" t="s">
        <v>140</v>
      </c>
      <c r="I42" s="2" t="s">
        <v>78</v>
      </c>
      <c r="J42" s="2" t="s">
        <v>75</v>
      </c>
      <c r="K42" s="2" t="s">
        <v>47</v>
      </c>
      <c r="L42">
        <v>7</v>
      </c>
      <c r="M42">
        <v>1491.9</v>
      </c>
      <c r="N42">
        <v>10443.300000000001</v>
      </c>
      <c r="O42" t="s">
        <v>29</v>
      </c>
      <c r="P42" s="2" t="s">
        <v>30</v>
      </c>
      <c r="Q42" s="2" t="s">
        <v>41</v>
      </c>
    </row>
    <row r="43" spans="1:17" hidden="1" x14ac:dyDescent="0.3">
      <c r="A43">
        <v>202400366</v>
      </c>
      <c r="B43" s="1">
        <v>45424</v>
      </c>
      <c r="C43">
        <v>2024</v>
      </c>
      <c r="D43">
        <v>2</v>
      </c>
      <c r="E43">
        <v>5</v>
      </c>
      <c r="F43">
        <v>48</v>
      </c>
      <c r="G43" s="2" t="s">
        <v>82</v>
      </c>
      <c r="H43" s="2" t="s">
        <v>140</v>
      </c>
      <c r="I43" s="2" t="s">
        <v>78</v>
      </c>
      <c r="J43" s="2" t="s">
        <v>75</v>
      </c>
      <c r="K43" s="2" t="s">
        <v>35</v>
      </c>
      <c r="L43">
        <v>5</v>
      </c>
      <c r="M43">
        <v>1736.98</v>
      </c>
      <c r="N43">
        <v>8684.9</v>
      </c>
      <c r="O43" t="s">
        <v>29</v>
      </c>
      <c r="P43" s="2" t="s">
        <v>30</v>
      </c>
      <c r="Q43" s="2" t="s">
        <v>31</v>
      </c>
    </row>
    <row r="44" spans="1:17" hidden="1" x14ac:dyDescent="0.3">
      <c r="A44">
        <v>202401038</v>
      </c>
      <c r="B44" s="1">
        <v>45574</v>
      </c>
      <c r="C44">
        <v>2024</v>
      </c>
      <c r="D44">
        <v>4</v>
      </c>
      <c r="E44">
        <v>10</v>
      </c>
      <c r="F44">
        <v>21</v>
      </c>
      <c r="G44" s="2" t="s">
        <v>53</v>
      </c>
      <c r="H44" s="2" t="s">
        <v>26</v>
      </c>
      <c r="I44" s="2" t="s">
        <v>78</v>
      </c>
      <c r="J44" s="2" t="s">
        <v>75</v>
      </c>
      <c r="K44" s="2" t="s">
        <v>60</v>
      </c>
      <c r="L44">
        <v>4</v>
      </c>
      <c r="M44">
        <v>790.09</v>
      </c>
      <c r="N44">
        <v>3160.36</v>
      </c>
      <c r="O44" t="s">
        <v>29</v>
      </c>
      <c r="P44" s="2" t="s">
        <v>43</v>
      </c>
      <c r="Q44" s="2" t="s">
        <v>41</v>
      </c>
    </row>
    <row r="45" spans="1:17" hidden="1" x14ac:dyDescent="0.3">
      <c r="A45">
        <v>202400590</v>
      </c>
      <c r="B45" s="1">
        <v>45631</v>
      </c>
      <c r="C45">
        <v>2024</v>
      </c>
      <c r="D45">
        <v>4</v>
      </c>
      <c r="E45">
        <v>12</v>
      </c>
      <c r="F45">
        <v>27</v>
      </c>
      <c r="G45" s="2" t="s">
        <v>83</v>
      </c>
      <c r="H45" s="2" t="s">
        <v>18</v>
      </c>
      <c r="I45" s="2" t="s">
        <v>74</v>
      </c>
      <c r="J45" s="2" t="s">
        <v>75</v>
      </c>
      <c r="K45" s="2" t="s">
        <v>21</v>
      </c>
      <c r="L45">
        <v>14</v>
      </c>
      <c r="M45">
        <v>806.29</v>
      </c>
      <c r="N45">
        <v>11288.06</v>
      </c>
      <c r="O45" t="s">
        <v>22</v>
      </c>
      <c r="P45" s="2" t="s">
        <v>30</v>
      </c>
      <c r="Q45" s="2" t="s">
        <v>40</v>
      </c>
    </row>
    <row r="46" spans="1:17" hidden="1" x14ac:dyDescent="0.3">
      <c r="A46">
        <v>202400993</v>
      </c>
      <c r="B46" s="1">
        <v>45430</v>
      </c>
      <c r="C46">
        <v>2024</v>
      </c>
      <c r="D46">
        <v>2</v>
      </c>
      <c r="E46">
        <v>5</v>
      </c>
      <c r="F46">
        <v>27</v>
      </c>
      <c r="G46" s="2" t="s">
        <v>83</v>
      </c>
      <c r="H46" s="2" t="s">
        <v>18</v>
      </c>
      <c r="I46" s="2" t="s">
        <v>74</v>
      </c>
      <c r="J46" s="2" t="s">
        <v>75</v>
      </c>
      <c r="K46" s="2" t="s">
        <v>50</v>
      </c>
      <c r="L46">
        <v>14</v>
      </c>
      <c r="M46">
        <v>408.05</v>
      </c>
      <c r="N46">
        <v>5712.7</v>
      </c>
      <c r="O46" t="s">
        <v>22</v>
      </c>
      <c r="P46" s="2" t="s">
        <v>48</v>
      </c>
      <c r="Q46" s="2" t="s">
        <v>40</v>
      </c>
    </row>
    <row r="47" spans="1:17" hidden="1" x14ac:dyDescent="0.3">
      <c r="A47">
        <v>202401126</v>
      </c>
      <c r="B47" s="1">
        <v>45596</v>
      </c>
      <c r="C47">
        <v>2024</v>
      </c>
      <c r="D47">
        <v>4</v>
      </c>
      <c r="E47">
        <v>10</v>
      </c>
      <c r="F47">
        <v>27</v>
      </c>
      <c r="G47" s="2" t="s">
        <v>83</v>
      </c>
      <c r="H47" s="2" t="s">
        <v>18</v>
      </c>
      <c r="I47" s="2" t="s">
        <v>74</v>
      </c>
      <c r="J47" s="2" t="s">
        <v>75</v>
      </c>
      <c r="K47" s="2" t="s">
        <v>50</v>
      </c>
      <c r="L47">
        <v>9</v>
      </c>
      <c r="M47">
        <v>1732.05</v>
      </c>
      <c r="N47">
        <v>15588.449999999999</v>
      </c>
      <c r="O47" t="s">
        <v>29</v>
      </c>
      <c r="P47" s="2" t="s">
        <v>30</v>
      </c>
      <c r="Q47" s="2" t="s">
        <v>24</v>
      </c>
    </row>
    <row r="48" spans="1:17" hidden="1" x14ac:dyDescent="0.3">
      <c r="A48">
        <v>202400906</v>
      </c>
      <c r="B48" s="1">
        <v>45434</v>
      </c>
      <c r="C48">
        <v>2024</v>
      </c>
      <c r="D48">
        <v>2</v>
      </c>
      <c r="E48">
        <v>5</v>
      </c>
      <c r="F48">
        <v>27</v>
      </c>
      <c r="G48" s="2" t="s">
        <v>83</v>
      </c>
      <c r="H48" s="2" t="s">
        <v>18</v>
      </c>
      <c r="I48" s="2" t="s">
        <v>74</v>
      </c>
      <c r="J48" s="2" t="s">
        <v>75</v>
      </c>
      <c r="K48" s="2" t="s">
        <v>71</v>
      </c>
      <c r="L48">
        <v>10</v>
      </c>
      <c r="M48">
        <v>1290.95</v>
      </c>
      <c r="N48">
        <v>12909.5</v>
      </c>
      <c r="O48" t="s">
        <v>22</v>
      </c>
      <c r="P48" s="2" t="s">
        <v>48</v>
      </c>
      <c r="Q48" s="2" t="s">
        <v>24</v>
      </c>
    </row>
    <row r="49" spans="1:17" hidden="1" x14ac:dyDescent="0.3">
      <c r="A49">
        <v>202400966</v>
      </c>
      <c r="B49" s="1">
        <v>45402</v>
      </c>
      <c r="C49">
        <v>2024</v>
      </c>
      <c r="D49">
        <v>2</v>
      </c>
      <c r="E49">
        <v>4</v>
      </c>
      <c r="F49">
        <v>27</v>
      </c>
      <c r="G49" s="2" t="s">
        <v>83</v>
      </c>
      <c r="H49" s="2" t="s">
        <v>18</v>
      </c>
      <c r="I49" s="2" t="s">
        <v>74</v>
      </c>
      <c r="J49" s="2" t="s">
        <v>75</v>
      </c>
      <c r="K49" s="2" t="s">
        <v>70</v>
      </c>
      <c r="L49">
        <v>6</v>
      </c>
      <c r="M49">
        <v>1666.73</v>
      </c>
      <c r="N49">
        <v>10000.380000000001</v>
      </c>
      <c r="O49" t="s">
        <v>29</v>
      </c>
      <c r="P49" s="2" t="s">
        <v>43</v>
      </c>
      <c r="Q49" s="2" t="s">
        <v>24</v>
      </c>
    </row>
    <row r="50" spans="1:17" x14ac:dyDescent="0.3">
      <c r="A50">
        <v>202400411</v>
      </c>
      <c r="B50" s="1">
        <v>45335</v>
      </c>
      <c r="C50">
        <v>2024</v>
      </c>
      <c r="D50">
        <v>1</v>
      </c>
      <c r="E50">
        <v>2</v>
      </c>
      <c r="F50">
        <v>75</v>
      </c>
      <c r="G50" s="2" t="s">
        <v>84</v>
      </c>
      <c r="H50" s="2" t="s">
        <v>62</v>
      </c>
      <c r="I50" s="2" t="s">
        <v>85</v>
      </c>
      <c r="J50" s="2" t="s">
        <v>57</v>
      </c>
      <c r="K50" s="2" t="s">
        <v>60</v>
      </c>
      <c r="L50">
        <v>3</v>
      </c>
      <c r="M50">
        <v>1567.12</v>
      </c>
      <c r="N50">
        <v>4701.3599999999997</v>
      </c>
      <c r="O50" t="s">
        <v>29</v>
      </c>
      <c r="P50" s="2" t="s">
        <v>30</v>
      </c>
      <c r="Q50" s="2" t="s">
        <v>24</v>
      </c>
    </row>
    <row r="51" spans="1:17" hidden="1" x14ac:dyDescent="0.3">
      <c r="A51">
        <v>202400814</v>
      </c>
      <c r="B51" s="1">
        <v>45419</v>
      </c>
      <c r="C51">
        <v>2024</v>
      </c>
      <c r="D51">
        <v>2</v>
      </c>
      <c r="E51">
        <v>5</v>
      </c>
      <c r="F51">
        <v>23</v>
      </c>
      <c r="G51" s="2" t="s">
        <v>86</v>
      </c>
      <c r="H51" s="2" t="s">
        <v>26</v>
      </c>
      <c r="I51" s="2" t="s">
        <v>33</v>
      </c>
      <c r="J51" s="2" t="s">
        <v>34</v>
      </c>
      <c r="K51" s="2" t="s">
        <v>70</v>
      </c>
      <c r="L51">
        <v>7</v>
      </c>
      <c r="M51">
        <v>1531.66</v>
      </c>
      <c r="N51">
        <v>10721.62</v>
      </c>
      <c r="O51" t="s">
        <v>29</v>
      </c>
      <c r="P51" s="2" t="s">
        <v>43</v>
      </c>
      <c r="Q51" s="2" t="s">
        <v>24</v>
      </c>
    </row>
    <row r="52" spans="1:17" hidden="1" x14ac:dyDescent="0.3">
      <c r="A52">
        <v>202400586</v>
      </c>
      <c r="B52" s="1">
        <v>45506</v>
      </c>
      <c r="C52">
        <v>2024</v>
      </c>
      <c r="D52">
        <v>3</v>
      </c>
      <c r="E52">
        <v>8</v>
      </c>
      <c r="F52">
        <v>55</v>
      </c>
      <c r="G52" s="2" t="s">
        <v>87</v>
      </c>
      <c r="H52" s="2" t="s">
        <v>69</v>
      </c>
      <c r="I52" s="2" t="s">
        <v>85</v>
      </c>
      <c r="J52" s="2" t="s">
        <v>57</v>
      </c>
      <c r="K52" s="2" t="s">
        <v>47</v>
      </c>
      <c r="L52">
        <v>9</v>
      </c>
      <c r="M52">
        <v>391.07</v>
      </c>
      <c r="N52">
        <v>3519.63</v>
      </c>
      <c r="O52" t="s">
        <v>29</v>
      </c>
      <c r="P52" s="2" t="s">
        <v>23</v>
      </c>
      <c r="Q52" s="2" t="s">
        <v>24</v>
      </c>
    </row>
    <row r="53" spans="1:17" x14ac:dyDescent="0.3">
      <c r="A53">
        <v>202400950</v>
      </c>
      <c r="B53" s="1">
        <v>45329</v>
      </c>
      <c r="C53">
        <v>2024</v>
      </c>
      <c r="D53">
        <v>1</v>
      </c>
      <c r="E53">
        <v>2</v>
      </c>
      <c r="F53">
        <v>46</v>
      </c>
      <c r="G53" s="2" t="s">
        <v>88</v>
      </c>
      <c r="H53" s="2" t="s">
        <v>26</v>
      </c>
      <c r="I53" s="2" t="s">
        <v>85</v>
      </c>
      <c r="J53" s="2" t="s">
        <v>57</v>
      </c>
      <c r="K53" s="2" t="s">
        <v>52</v>
      </c>
      <c r="L53">
        <v>2</v>
      </c>
      <c r="M53">
        <v>1619.8</v>
      </c>
      <c r="N53">
        <v>3239.6</v>
      </c>
      <c r="O53" t="s">
        <v>36</v>
      </c>
      <c r="P53" s="2" t="s">
        <v>43</v>
      </c>
      <c r="Q53" s="2" t="s">
        <v>24</v>
      </c>
    </row>
    <row r="54" spans="1:17" hidden="1" x14ac:dyDescent="0.3">
      <c r="A54">
        <v>202400440</v>
      </c>
      <c r="B54" s="1">
        <v>45459</v>
      </c>
      <c r="C54">
        <v>2024</v>
      </c>
      <c r="D54">
        <v>2</v>
      </c>
      <c r="E54">
        <v>6</v>
      </c>
      <c r="F54">
        <v>26</v>
      </c>
      <c r="G54" s="2" t="s">
        <v>89</v>
      </c>
      <c r="H54" s="2" t="s">
        <v>62</v>
      </c>
      <c r="I54" s="2" t="s">
        <v>67</v>
      </c>
      <c r="J54" s="2" t="s">
        <v>20</v>
      </c>
      <c r="K54" s="2" t="s">
        <v>35</v>
      </c>
      <c r="L54">
        <v>14</v>
      </c>
      <c r="M54">
        <v>126.17</v>
      </c>
      <c r="N54">
        <v>1766.38</v>
      </c>
      <c r="O54" t="s">
        <v>22</v>
      </c>
      <c r="P54" s="2" t="s">
        <v>43</v>
      </c>
      <c r="Q54" s="2" t="s">
        <v>41</v>
      </c>
    </row>
    <row r="55" spans="1:17" hidden="1" x14ac:dyDescent="0.3">
      <c r="A55">
        <v>202401016</v>
      </c>
      <c r="B55" s="1">
        <v>45535</v>
      </c>
      <c r="C55">
        <v>2024</v>
      </c>
      <c r="D55">
        <v>3</v>
      </c>
      <c r="E55">
        <v>8</v>
      </c>
      <c r="F55">
        <v>26</v>
      </c>
      <c r="G55" s="2" t="s">
        <v>89</v>
      </c>
      <c r="H55" s="2" t="s">
        <v>62</v>
      </c>
      <c r="I55" s="2" t="s">
        <v>67</v>
      </c>
      <c r="J55" s="2" t="s">
        <v>20</v>
      </c>
      <c r="K55" s="2" t="s">
        <v>39</v>
      </c>
      <c r="L55">
        <v>4</v>
      </c>
      <c r="M55">
        <v>480.21</v>
      </c>
      <c r="N55">
        <v>1920.84</v>
      </c>
      <c r="O55" t="s">
        <v>29</v>
      </c>
      <c r="P55" s="2" t="s">
        <v>30</v>
      </c>
      <c r="Q55" s="2" t="s">
        <v>24</v>
      </c>
    </row>
    <row r="56" spans="1:17" x14ac:dyDescent="0.3">
      <c r="A56">
        <v>202400579</v>
      </c>
      <c r="B56" s="1">
        <v>45347</v>
      </c>
      <c r="C56">
        <v>2024</v>
      </c>
      <c r="D56">
        <v>1</v>
      </c>
      <c r="E56">
        <v>2</v>
      </c>
      <c r="F56">
        <v>61</v>
      </c>
      <c r="G56" s="2" t="s">
        <v>90</v>
      </c>
      <c r="H56" s="2" t="s">
        <v>69</v>
      </c>
      <c r="I56" s="2" t="s">
        <v>65</v>
      </c>
      <c r="J56" s="2" t="s">
        <v>34</v>
      </c>
      <c r="K56" s="2" t="s">
        <v>47</v>
      </c>
      <c r="L56">
        <v>13</v>
      </c>
      <c r="M56">
        <v>405.42</v>
      </c>
      <c r="N56">
        <v>5270.46</v>
      </c>
      <c r="O56" t="s">
        <v>22</v>
      </c>
      <c r="P56" s="2" t="s">
        <v>43</v>
      </c>
      <c r="Q56" s="2" t="s">
        <v>31</v>
      </c>
    </row>
    <row r="57" spans="1:17" x14ac:dyDescent="0.3">
      <c r="A57">
        <v>202401181</v>
      </c>
      <c r="B57" s="1">
        <v>45349</v>
      </c>
      <c r="C57">
        <v>2024</v>
      </c>
      <c r="D57">
        <v>1</v>
      </c>
      <c r="E57">
        <v>2</v>
      </c>
      <c r="F57">
        <v>61</v>
      </c>
      <c r="G57" s="2" t="s">
        <v>90</v>
      </c>
      <c r="H57" s="2" t="s">
        <v>69</v>
      </c>
      <c r="I57" s="2" t="s">
        <v>65</v>
      </c>
      <c r="J57" s="2" t="s">
        <v>34</v>
      </c>
      <c r="K57" s="2" t="s">
        <v>60</v>
      </c>
      <c r="L57">
        <v>4</v>
      </c>
      <c r="M57">
        <v>871.42</v>
      </c>
      <c r="N57">
        <v>3485.68</v>
      </c>
      <c r="O57" t="s">
        <v>29</v>
      </c>
      <c r="P57" s="2" t="s">
        <v>43</v>
      </c>
      <c r="Q57" s="2" t="s">
        <v>24</v>
      </c>
    </row>
    <row r="58" spans="1:17" hidden="1" x14ac:dyDescent="0.3">
      <c r="A58">
        <v>202400891</v>
      </c>
      <c r="B58" s="1">
        <v>45546</v>
      </c>
      <c r="C58">
        <v>2024</v>
      </c>
      <c r="D58">
        <v>3</v>
      </c>
      <c r="E58">
        <v>9</v>
      </c>
      <c r="F58">
        <v>58</v>
      </c>
      <c r="G58" s="2" t="s">
        <v>68</v>
      </c>
      <c r="H58" s="2" t="s">
        <v>69</v>
      </c>
      <c r="I58" s="2" t="s">
        <v>85</v>
      </c>
      <c r="J58" s="2" t="s">
        <v>57</v>
      </c>
      <c r="K58" s="2" t="s">
        <v>35</v>
      </c>
      <c r="L58">
        <v>9</v>
      </c>
      <c r="M58">
        <v>1838.32</v>
      </c>
      <c r="N58">
        <v>16544.88</v>
      </c>
      <c r="O58" t="s">
        <v>29</v>
      </c>
      <c r="P58" s="2" t="s">
        <v>30</v>
      </c>
      <c r="Q58" s="2" t="s">
        <v>41</v>
      </c>
    </row>
    <row r="59" spans="1:17" x14ac:dyDescent="0.3">
      <c r="A59">
        <v>202400293</v>
      </c>
      <c r="B59" s="1">
        <v>45376</v>
      </c>
      <c r="C59">
        <v>2024</v>
      </c>
      <c r="D59">
        <v>1</v>
      </c>
      <c r="E59">
        <v>3</v>
      </c>
      <c r="F59">
        <v>58</v>
      </c>
      <c r="G59" s="2" t="s">
        <v>68</v>
      </c>
      <c r="H59" s="2" t="s">
        <v>69</v>
      </c>
      <c r="I59" s="2" t="s">
        <v>85</v>
      </c>
      <c r="J59" s="2" t="s">
        <v>57</v>
      </c>
      <c r="K59" s="2" t="s">
        <v>35</v>
      </c>
      <c r="L59">
        <v>9</v>
      </c>
      <c r="M59">
        <v>646.54999999999995</v>
      </c>
      <c r="N59">
        <v>5818.95</v>
      </c>
      <c r="O59" t="s">
        <v>29</v>
      </c>
      <c r="P59" s="2" t="s">
        <v>43</v>
      </c>
      <c r="Q59" s="2" t="s">
        <v>24</v>
      </c>
    </row>
    <row r="60" spans="1:17" hidden="1" x14ac:dyDescent="0.3">
      <c r="A60">
        <v>202400148</v>
      </c>
      <c r="B60" s="1">
        <v>45519</v>
      </c>
      <c r="C60">
        <v>2024</v>
      </c>
      <c r="D60">
        <v>3</v>
      </c>
      <c r="E60">
        <v>8</v>
      </c>
      <c r="F60">
        <v>30</v>
      </c>
      <c r="G60" s="2" t="s">
        <v>91</v>
      </c>
      <c r="H60" s="2" t="s">
        <v>69</v>
      </c>
      <c r="I60" s="2" t="s">
        <v>65</v>
      </c>
      <c r="J60" s="2" t="s">
        <v>34</v>
      </c>
      <c r="K60" s="2" t="s">
        <v>52</v>
      </c>
      <c r="L60">
        <v>7</v>
      </c>
      <c r="M60">
        <v>872.41</v>
      </c>
      <c r="N60">
        <v>6106.87</v>
      </c>
      <c r="O60" t="s">
        <v>29</v>
      </c>
      <c r="P60" s="2" t="s">
        <v>43</v>
      </c>
      <c r="Q60" s="2" t="s">
        <v>31</v>
      </c>
    </row>
    <row r="61" spans="1:17" hidden="1" x14ac:dyDescent="0.3">
      <c r="A61">
        <v>202400744</v>
      </c>
      <c r="B61" s="1">
        <v>45520</v>
      </c>
      <c r="C61">
        <v>2024</v>
      </c>
      <c r="D61">
        <v>3</v>
      </c>
      <c r="E61">
        <v>8</v>
      </c>
      <c r="F61">
        <v>38</v>
      </c>
      <c r="G61" s="2" t="s">
        <v>92</v>
      </c>
      <c r="H61" s="2" t="s">
        <v>18</v>
      </c>
      <c r="I61" s="2" t="s">
        <v>78</v>
      </c>
      <c r="J61" s="2" t="s">
        <v>75</v>
      </c>
      <c r="K61" s="2" t="s">
        <v>50</v>
      </c>
      <c r="L61">
        <v>4</v>
      </c>
      <c r="M61">
        <v>1971</v>
      </c>
      <c r="N61">
        <v>7884</v>
      </c>
      <c r="O61" t="s">
        <v>29</v>
      </c>
      <c r="P61" s="2" t="s">
        <v>30</v>
      </c>
      <c r="Q61" s="2" t="s">
        <v>24</v>
      </c>
    </row>
    <row r="62" spans="1:17" hidden="1" x14ac:dyDescent="0.3">
      <c r="A62">
        <v>202400936</v>
      </c>
      <c r="B62" s="1">
        <v>45544</v>
      </c>
      <c r="C62">
        <v>2024</v>
      </c>
      <c r="D62">
        <v>3</v>
      </c>
      <c r="E62">
        <v>9</v>
      </c>
      <c r="F62">
        <v>32</v>
      </c>
      <c r="G62" s="2" t="s">
        <v>93</v>
      </c>
      <c r="H62" s="2" t="s">
        <v>26</v>
      </c>
      <c r="I62" s="2" t="s">
        <v>65</v>
      </c>
      <c r="J62" s="2" t="s">
        <v>34</v>
      </c>
      <c r="K62" s="2" t="s">
        <v>21</v>
      </c>
      <c r="L62">
        <v>4</v>
      </c>
      <c r="M62">
        <v>44.92</v>
      </c>
      <c r="N62">
        <v>179.68</v>
      </c>
      <c r="O62" t="s">
        <v>29</v>
      </c>
      <c r="P62" s="2" t="s">
        <v>30</v>
      </c>
      <c r="Q62" s="2" t="s">
        <v>24</v>
      </c>
    </row>
    <row r="63" spans="1:17" hidden="1" x14ac:dyDescent="0.3">
      <c r="A63">
        <v>202400124</v>
      </c>
      <c r="B63" s="1">
        <v>45399</v>
      </c>
      <c r="C63">
        <v>2024</v>
      </c>
      <c r="D63">
        <v>2</v>
      </c>
      <c r="E63">
        <v>4</v>
      </c>
      <c r="F63">
        <v>70</v>
      </c>
      <c r="G63" s="2" t="s">
        <v>94</v>
      </c>
      <c r="H63" s="2" t="s">
        <v>18</v>
      </c>
      <c r="I63" s="2" t="s">
        <v>78</v>
      </c>
      <c r="J63" s="2" t="s">
        <v>75</v>
      </c>
      <c r="K63" s="2" t="s">
        <v>51</v>
      </c>
      <c r="L63">
        <v>8</v>
      </c>
      <c r="M63">
        <v>1509.84</v>
      </c>
      <c r="N63">
        <v>12078.72</v>
      </c>
      <c r="O63" t="s">
        <v>29</v>
      </c>
      <c r="P63" s="2" t="s">
        <v>43</v>
      </c>
      <c r="Q63" s="2" t="s">
        <v>24</v>
      </c>
    </row>
    <row r="64" spans="1:17" hidden="1" x14ac:dyDescent="0.3">
      <c r="A64">
        <v>202400114</v>
      </c>
      <c r="B64" s="1">
        <v>45408</v>
      </c>
      <c r="C64">
        <v>2024</v>
      </c>
      <c r="D64">
        <v>2</v>
      </c>
      <c r="E64">
        <v>4</v>
      </c>
      <c r="F64">
        <v>70</v>
      </c>
      <c r="G64" s="2" t="s">
        <v>94</v>
      </c>
      <c r="H64" s="2" t="s">
        <v>18</v>
      </c>
      <c r="I64" s="2" t="s">
        <v>78</v>
      </c>
      <c r="J64" s="2" t="s">
        <v>75</v>
      </c>
      <c r="K64" s="2" t="s">
        <v>21</v>
      </c>
      <c r="L64">
        <v>6</v>
      </c>
      <c r="M64">
        <v>466.52</v>
      </c>
      <c r="N64">
        <v>2799.12</v>
      </c>
      <c r="O64" t="s">
        <v>29</v>
      </c>
      <c r="P64" s="2" t="s">
        <v>43</v>
      </c>
      <c r="Q64" s="2" t="s">
        <v>31</v>
      </c>
    </row>
    <row r="65" spans="1:17" hidden="1" x14ac:dyDescent="0.3">
      <c r="A65">
        <v>202400680</v>
      </c>
      <c r="B65" s="1">
        <v>45544</v>
      </c>
      <c r="C65">
        <v>2024</v>
      </c>
      <c r="D65">
        <v>3</v>
      </c>
      <c r="E65">
        <v>9</v>
      </c>
      <c r="F65">
        <v>34</v>
      </c>
      <c r="G65" s="2" t="s">
        <v>95</v>
      </c>
      <c r="H65" s="2" t="s">
        <v>18</v>
      </c>
      <c r="I65" s="2" t="s">
        <v>54</v>
      </c>
      <c r="J65" s="2" t="s">
        <v>20</v>
      </c>
      <c r="K65" s="2" t="s">
        <v>70</v>
      </c>
      <c r="L65">
        <v>2</v>
      </c>
      <c r="M65">
        <v>1496.94</v>
      </c>
      <c r="N65">
        <v>2993.88</v>
      </c>
      <c r="O65" t="s">
        <v>36</v>
      </c>
      <c r="P65" s="2" t="s">
        <v>30</v>
      </c>
      <c r="Q65" s="2" t="s">
        <v>31</v>
      </c>
    </row>
    <row r="66" spans="1:17" x14ac:dyDescent="0.3">
      <c r="A66">
        <v>202400356</v>
      </c>
      <c r="B66" s="1">
        <v>45326</v>
      </c>
      <c r="C66">
        <v>2024</v>
      </c>
      <c r="D66">
        <v>1</v>
      </c>
      <c r="E66">
        <v>2</v>
      </c>
      <c r="F66">
        <v>37</v>
      </c>
      <c r="G66" s="2" t="s">
        <v>96</v>
      </c>
      <c r="H66" s="2" t="s">
        <v>62</v>
      </c>
      <c r="I66" s="2" t="s">
        <v>56</v>
      </c>
      <c r="J66" s="2" t="s">
        <v>57</v>
      </c>
      <c r="K66" s="2" t="s">
        <v>97</v>
      </c>
      <c r="L66">
        <v>5</v>
      </c>
      <c r="M66">
        <v>200.16</v>
      </c>
      <c r="N66">
        <v>1000.8</v>
      </c>
      <c r="O66" t="s">
        <v>29</v>
      </c>
      <c r="P66" s="2" t="s">
        <v>30</v>
      </c>
      <c r="Q66" s="2" t="s">
        <v>45</v>
      </c>
    </row>
    <row r="67" spans="1:17" hidden="1" x14ac:dyDescent="0.3">
      <c r="A67">
        <v>202400539</v>
      </c>
      <c r="B67" s="1">
        <v>45397</v>
      </c>
      <c r="C67">
        <v>2024</v>
      </c>
      <c r="D67">
        <v>2</v>
      </c>
      <c r="E67">
        <v>4</v>
      </c>
      <c r="F67">
        <v>39</v>
      </c>
      <c r="G67" s="2" t="s">
        <v>98</v>
      </c>
      <c r="H67" s="2" t="s">
        <v>18</v>
      </c>
      <c r="I67" s="2" t="s">
        <v>19</v>
      </c>
      <c r="J67" s="2" t="s">
        <v>20</v>
      </c>
      <c r="K67" s="2" t="s">
        <v>21</v>
      </c>
      <c r="L67">
        <v>8</v>
      </c>
      <c r="M67">
        <v>1424.24</v>
      </c>
      <c r="N67">
        <v>11393.92</v>
      </c>
      <c r="O67" t="s">
        <v>29</v>
      </c>
      <c r="P67" s="2" t="s">
        <v>23</v>
      </c>
      <c r="Q67" s="2" t="s">
        <v>24</v>
      </c>
    </row>
    <row r="68" spans="1:17" hidden="1" x14ac:dyDescent="0.3">
      <c r="A68">
        <v>202400079</v>
      </c>
      <c r="B68" s="1">
        <v>45510</v>
      </c>
      <c r="C68">
        <v>2024</v>
      </c>
      <c r="D68">
        <v>3</v>
      </c>
      <c r="E68">
        <v>8</v>
      </c>
      <c r="F68">
        <v>39</v>
      </c>
      <c r="G68" s="2" t="s">
        <v>98</v>
      </c>
      <c r="H68" s="2" t="s">
        <v>18</v>
      </c>
      <c r="I68" s="2" t="s">
        <v>19</v>
      </c>
      <c r="J68" s="2" t="s">
        <v>20</v>
      </c>
      <c r="K68" s="2" t="s">
        <v>42</v>
      </c>
      <c r="L68">
        <v>8</v>
      </c>
      <c r="M68">
        <v>779.32</v>
      </c>
      <c r="N68">
        <v>6234.56</v>
      </c>
      <c r="O68" t="s">
        <v>29</v>
      </c>
      <c r="P68" s="2" t="s">
        <v>30</v>
      </c>
      <c r="Q68" s="2" t="s">
        <v>24</v>
      </c>
    </row>
    <row r="69" spans="1:17" hidden="1" x14ac:dyDescent="0.3">
      <c r="A69">
        <v>202400309</v>
      </c>
      <c r="B69" s="1">
        <v>45457</v>
      </c>
      <c r="C69">
        <v>2024</v>
      </c>
      <c r="D69">
        <v>2</v>
      </c>
      <c r="E69">
        <v>6</v>
      </c>
      <c r="F69">
        <v>41</v>
      </c>
      <c r="G69" s="2" t="s">
        <v>99</v>
      </c>
      <c r="H69" s="2" t="s">
        <v>18</v>
      </c>
      <c r="I69" s="2" t="s">
        <v>78</v>
      </c>
      <c r="J69" s="2" t="s">
        <v>75</v>
      </c>
      <c r="K69" s="2" t="s">
        <v>50</v>
      </c>
      <c r="L69">
        <v>8</v>
      </c>
      <c r="M69">
        <v>1086.02</v>
      </c>
      <c r="N69">
        <v>8688.16</v>
      </c>
      <c r="O69" t="s">
        <v>29</v>
      </c>
      <c r="P69" s="2" t="s">
        <v>43</v>
      </c>
      <c r="Q69" s="2" t="s">
        <v>24</v>
      </c>
    </row>
    <row r="70" spans="1:17" hidden="1" x14ac:dyDescent="0.3">
      <c r="A70">
        <v>202400050</v>
      </c>
      <c r="B70" s="1">
        <v>45484</v>
      </c>
      <c r="C70">
        <v>2024</v>
      </c>
      <c r="D70">
        <v>3</v>
      </c>
      <c r="E70">
        <v>7</v>
      </c>
      <c r="F70">
        <v>43</v>
      </c>
      <c r="G70" s="2" t="s">
        <v>100</v>
      </c>
      <c r="H70" s="2" t="s">
        <v>69</v>
      </c>
      <c r="I70" s="2" t="s">
        <v>54</v>
      </c>
      <c r="J70" s="2" t="s">
        <v>20</v>
      </c>
      <c r="K70" s="2" t="s">
        <v>58</v>
      </c>
      <c r="L70">
        <v>11</v>
      </c>
      <c r="M70">
        <v>1882.81</v>
      </c>
      <c r="N70">
        <v>20710.91</v>
      </c>
      <c r="O70" t="s">
        <v>22</v>
      </c>
      <c r="P70" s="2" t="s">
        <v>48</v>
      </c>
      <c r="Q70" s="2" t="s">
        <v>40</v>
      </c>
    </row>
    <row r="71" spans="1:17" hidden="1" x14ac:dyDescent="0.3">
      <c r="A71">
        <v>202401199</v>
      </c>
      <c r="B71" s="1">
        <v>45514</v>
      </c>
      <c r="C71">
        <v>2024</v>
      </c>
      <c r="D71">
        <v>3</v>
      </c>
      <c r="E71">
        <v>8</v>
      </c>
      <c r="F71">
        <v>60</v>
      </c>
      <c r="G71" s="2" t="s">
        <v>101</v>
      </c>
      <c r="H71" s="2" t="s">
        <v>62</v>
      </c>
      <c r="I71" s="2" t="s">
        <v>54</v>
      </c>
      <c r="J71" s="2" t="s">
        <v>20</v>
      </c>
      <c r="K71" s="2" t="s">
        <v>59</v>
      </c>
      <c r="L71">
        <v>9</v>
      </c>
      <c r="M71">
        <v>1826.64</v>
      </c>
      <c r="N71">
        <v>16439.760000000002</v>
      </c>
      <c r="O71" t="s">
        <v>29</v>
      </c>
      <c r="P71" s="2" t="s">
        <v>23</v>
      </c>
      <c r="Q71" s="2" t="s">
        <v>24</v>
      </c>
    </row>
    <row r="72" spans="1:17" hidden="1" x14ac:dyDescent="0.3">
      <c r="A72">
        <v>202400171</v>
      </c>
      <c r="B72" s="1">
        <v>45395</v>
      </c>
      <c r="C72">
        <v>2024</v>
      </c>
      <c r="D72">
        <v>2</v>
      </c>
      <c r="E72">
        <v>4</v>
      </c>
      <c r="F72">
        <v>74</v>
      </c>
      <c r="G72" s="2" t="s">
        <v>102</v>
      </c>
      <c r="H72" s="2" t="s">
        <v>140</v>
      </c>
      <c r="I72" s="2" t="s">
        <v>27</v>
      </c>
      <c r="J72" s="2" t="s">
        <v>20</v>
      </c>
      <c r="K72" s="2" t="s">
        <v>51</v>
      </c>
      <c r="L72">
        <v>8</v>
      </c>
      <c r="M72">
        <v>132.91</v>
      </c>
      <c r="N72">
        <v>1063.28</v>
      </c>
      <c r="O72" t="s">
        <v>29</v>
      </c>
      <c r="P72" s="2" t="s">
        <v>48</v>
      </c>
      <c r="Q72" s="2" t="s">
        <v>41</v>
      </c>
    </row>
    <row r="73" spans="1:17" hidden="1" x14ac:dyDescent="0.3">
      <c r="A73">
        <v>202400661</v>
      </c>
      <c r="B73" s="1">
        <v>45563</v>
      </c>
      <c r="C73">
        <v>2024</v>
      </c>
      <c r="D73">
        <v>3</v>
      </c>
      <c r="E73">
        <v>9</v>
      </c>
      <c r="F73">
        <v>45</v>
      </c>
      <c r="G73" s="2" t="s">
        <v>103</v>
      </c>
      <c r="H73" s="2" t="s">
        <v>26</v>
      </c>
      <c r="I73" s="2" t="s">
        <v>56</v>
      </c>
      <c r="J73" s="2" t="s">
        <v>57</v>
      </c>
      <c r="K73" s="2" t="s">
        <v>28</v>
      </c>
      <c r="L73">
        <v>13</v>
      </c>
      <c r="M73">
        <v>625.16</v>
      </c>
      <c r="N73">
        <v>8127.08</v>
      </c>
      <c r="O73" t="s">
        <v>22</v>
      </c>
      <c r="P73" s="2" t="s">
        <v>48</v>
      </c>
      <c r="Q73" s="2" t="s">
        <v>24</v>
      </c>
    </row>
    <row r="74" spans="1:17" hidden="1" x14ac:dyDescent="0.3">
      <c r="A74">
        <v>202400998</v>
      </c>
      <c r="B74" s="1">
        <v>45497</v>
      </c>
      <c r="C74">
        <v>2024</v>
      </c>
      <c r="D74">
        <v>3</v>
      </c>
      <c r="E74">
        <v>7</v>
      </c>
      <c r="F74">
        <v>76</v>
      </c>
      <c r="G74" s="2" t="s">
        <v>104</v>
      </c>
      <c r="H74" s="2" t="s">
        <v>140</v>
      </c>
      <c r="I74" s="2" t="s">
        <v>33</v>
      </c>
      <c r="J74" s="2" t="s">
        <v>34</v>
      </c>
      <c r="K74" s="2" t="s">
        <v>71</v>
      </c>
      <c r="L74">
        <v>3</v>
      </c>
      <c r="M74">
        <v>676.49</v>
      </c>
      <c r="N74">
        <v>2029.47</v>
      </c>
      <c r="O74" t="s">
        <v>29</v>
      </c>
      <c r="P74" s="2" t="s">
        <v>23</v>
      </c>
      <c r="Q74" s="2" t="s">
        <v>24</v>
      </c>
    </row>
    <row r="75" spans="1:17" x14ac:dyDescent="0.3">
      <c r="A75">
        <v>202400129</v>
      </c>
      <c r="B75" s="1">
        <v>45314</v>
      </c>
      <c r="C75">
        <v>2024</v>
      </c>
      <c r="D75">
        <v>1</v>
      </c>
      <c r="E75">
        <v>1</v>
      </c>
      <c r="F75">
        <v>52</v>
      </c>
      <c r="G75" s="2" t="s">
        <v>105</v>
      </c>
      <c r="H75" s="2" t="s">
        <v>62</v>
      </c>
      <c r="I75" s="2" t="s">
        <v>78</v>
      </c>
      <c r="J75" s="2" t="s">
        <v>75</v>
      </c>
      <c r="K75" s="2" t="s">
        <v>60</v>
      </c>
      <c r="L75">
        <v>13</v>
      </c>
      <c r="M75">
        <v>1793.31</v>
      </c>
      <c r="N75">
        <v>23313.03</v>
      </c>
      <c r="O75" t="s">
        <v>22</v>
      </c>
      <c r="P75" s="2" t="s">
        <v>43</v>
      </c>
      <c r="Q75" s="2" t="s">
        <v>40</v>
      </c>
    </row>
    <row r="76" spans="1:17" hidden="1" x14ac:dyDescent="0.3">
      <c r="A76">
        <v>202400245</v>
      </c>
      <c r="B76" s="1">
        <v>45618</v>
      </c>
      <c r="C76">
        <v>2024</v>
      </c>
      <c r="D76">
        <v>4</v>
      </c>
      <c r="E76">
        <v>11</v>
      </c>
      <c r="F76">
        <v>64</v>
      </c>
      <c r="G76" s="2" t="s">
        <v>106</v>
      </c>
      <c r="H76" s="2" t="s">
        <v>26</v>
      </c>
      <c r="I76" s="2" t="s">
        <v>27</v>
      </c>
      <c r="J76" s="2" t="s">
        <v>20</v>
      </c>
      <c r="K76" s="2" t="s">
        <v>97</v>
      </c>
      <c r="L76">
        <v>1</v>
      </c>
      <c r="M76">
        <v>446.21</v>
      </c>
      <c r="N76">
        <v>446.21</v>
      </c>
      <c r="O76" t="s">
        <v>36</v>
      </c>
      <c r="P76" s="2" t="s">
        <v>43</v>
      </c>
      <c r="Q76" s="2" t="s">
        <v>24</v>
      </c>
    </row>
    <row r="77" spans="1:17" hidden="1" x14ac:dyDescent="0.3">
      <c r="A77">
        <v>202401015</v>
      </c>
      <c r="B77" s="1">
        <v>45518</v>
      </c>
      <c r="C77">
        <v>2024</v>
      </c>
      <c r="D77">
        <v>3</v>
      </c>
      <c r="E77">
        <v>8</v>
      </c>
      <c r="F77">
        <v>64</v>
      </c>
      <c r="G77" s="2" t="s">
        <v>106</v>
      </c>
      <c r="H77" s="2" t="s">
        <v>26</v>
      </c>
      <c r="I77" s="2" t="s">
        <v>27</v>
      </c>
      <c r="J77" s="2" t="s">
        <v>20</v>
      </c>
      <c r="K77" s="2" t="s">
        <v>51</v>
      </c>
      <c r="L77">
        <v>12</v>
      </c>
      <c r="M77">
        <v>1296.6300000000001</v>
      </c>
      <c r="N77">
        <v>15559.560000000001</v>
      </c>
      <c r="O77" t="s">
        <v>22</v>
      </c>
      <c r="P77" s="2" t="s">
        <v>43</v>
      </c>
      <c r="Q77" s="2" t="s">
        <v>24</v>
      </c>
    </row>
    <row r="78" spans="1:17" x14ac:dyDescent="0.3">
      <c r="A78">
        <v>202400102</v>
      </c>
      <c r="B78" s="1">
        <v>45301</v>
      </c>
      <c r="C78">
        <v>2024</v>
      </c>
      <c r="D78">
        <v>1</v>
      </c>
      <c r="E78">
        <v>1</v>
      </c>
      <c r="F78">
        <v>64</v>
      </c>
      <c r="G78" s="2" t="s">
        <v>106</v>
      </c>
      <c r="H78" s="2" t="s">
        <v>26</v>
      </c>
      <c r="I78" s="2" t="s">
        <v>27</v>
      </c>
      <c r="J78" s="2" t="s">
        <v>20</v>
      </c>
      <c r="K78" s="2" t="s">
        <v>47</v>
      </c>
      <c r="L78">
        <v>6</v>
      </c>
      <c r="M78">
        <v>727.46</v>
      </c>
      <c r="N78">
        <v>4364.76</v>
      </c>
      <c r="O78" t="s">
        <v>29</v>
      </c>
      <c r="P78" s="2" t="s">
        <v>43</v>
      </c>
      <c r="Q78" s="2" t="s">
        <v>41</v>
      </c>
    </row>
    <row r="79" spans="1:17" hidden="1" x14ac:dyDescent="0.3">
      <c r="A79">
        <v>202400059</v>
      </c>
      <c r="B79" s="1">
        <v>45444</v>
      </c>
      <c r="C79">
        <v>2024</v>
      </c>
      <c r="D79">
        <v>2</v>
      </c>
      <c r="E79">
        <v>6</v>
      </c>
      <c r="F79">
        <v>66</v>
      </c>
      <c r="G79" s="2" t="s">
        <v>107</v>
      </c>
      <c r="H79" s="2" t="s">
        <v>69</v>
      </c>
      <c r="I79" s="2" t="s">
        <v>78</v>
      </c>
      <c r="J79" s="2" t="s">
        <v>75</v>
      </c>
      <c r="K79" s="2" t="s">
        <v>50</v>
      </c>
      <c r="L79">
        <v>12</v>
      </c>
      <c r="M79">
        <v>890.72</v>
      </c>
      <c r="N79">
        <v>10688.64</v>
      </c>
      <c r="O79" t="s">
        <v>22</v>
      </c>
      <c r="P79" s="2" t="s">
        <v>48</v>
      </c>
      <c r="Q79" s="2" t="s">
        <v>41</v>
      </c>
    </row>
    <row r="80" spans="1:17" hidden="1" x14ac:dyDescent="0.3">
      <c r="A80">
        <v>202400052</v>
      </c>
      <c r="B80" s="1">
        <v>45536</v>
      </c>
      <c r="C80">
        <v>2024</v>
      </c>
      <c r="D80">
        <v>3</v>
      </c>
      <c r="E80">
        <v>9</v>
      </c>
      <c r="F80">
        <v>66</v>
      </c>
      <c r="G80" s="2" t="s">
        <v>107</v>
      </c>
      <c r="H80" s="2" t="s">
        <v>69</v>
      </c>
      <c r="I80" s="2" t="s">
        <v>78</v>
      </c>
      <c r="J80" s="2" t="s">
        <v>75</v>
      </c>
      <c r="K80" s="2" t="s">
        <v>71</v>
      </c>
      <c r="L80">
        <v>12</v>
      </c>
      <c r="M80">
        <v>315.31</v>
      </c>
      <c r="N80">
        <v>3783.7200000000003</v>
      </c>
      <c r="O80" t="s">
        <v>22</v>
      </c>
      <c r="P80" s="2" t="s">
        <v>43</v>
      </c>
      <c r="Q80" s="2" t="s">
        <v>40</v>
      </c>
    </row>
    <row r="81" spans="1:17" x14ac:dyDescent="0.3">
      <c r="A81">
        <v>202400918</v>
      </c>
      <c r="B81" s="1">
        <v>45305</v>
      </c>
      <c r="C81">
        <v>2024</v>
      </c>
      <c r="D81">
        <v>1</v>
      </c>
      <c r="E81">
        <v>1</v>
      </c>
      <c r="F81">
        <v>79</v>
      </c>
      <c r="G81" s="2" t="s">
        <v>108</v>
      </c>
      <c r="H81" s="2" t="s">
        <v>69</v>
      </c>
      <c r="I81" s="2" t="s">
        <v>85</v>
      </c>
      <c r="J81" s="2" t="s">
        <v>57</v>
      </c>
      <c r="K81" s="2" t="s">
        <v>47</v>
      </c>
      <c r="L81">
        <v>8</v>
      </c>
      <c r="M81">
        <v>92.14</v>
      </c>
      <c r="N81">
        <v>737.12</v>
      </c>
      <c r="O81" t="s">
        <v>29</v>
      </c>
      <c r="P81" s="2" t="s">
        <v>43</v>
      </c>
      <c r="Q81" s="2" t="s">
        <v>24</v>
      </c>
    </row>
    <row r="82" spans="1:17" hidden="1" x14ac:dyDescent="0.3">
      <c r="A82">
        <v>202400537</v>
      </c>
      <c r="B82" s="1">
        <v>45565</v>
      </c>
      <c r="C82">
        <v>2024</v>
      </c>
      <c r="D82">
        <v>3</v>
      </c>
      <c r="E82">
        <v>9</v>
      </c>
      <c r="F82">
        <v>77</v>
      </c>
      <c r="G82" s="2" t="s">
        <v>109</v>
      </c>
      <c r="H82" s="2" t="s">
        <v>140</v>
      </c>
      <c r="I82" s="2" t="s">
        <v>74</v>
      </c>
      <c r="J82" s="2" t="s">
        <v>75</v>
      </c>
      <c r="K82" s="2" t="s">
        <v>97</v>
      </c>
      <c r="L82">
        <v>4</v>
      </c>
      <c r="M82">
        <v>1244.82</v>
      </c>
      <c r="N82">
        <v>4979.28</v>
      </c>
      <c r="O82" t="s">
        <v>29</v>
      </c>
      <c r="P82" s="2" t="s">
        <v>30</v>
      </c>
      <c r="Q82" s="2" t="s">
        <v>41</v>
      </c>
    </row>
    <row r="83" spans="1:17" x14ac:dyDescent="0.3">
      <c r="A83">
        <v>202400668</v>
      </c>
      <c r="B83" s="1">
        <v>45330</v>
      </c>
      <c r="C83">
        <v>2024</v>
      </c>
      <c r="D83">
        <v>1</v>
      </c>
      <c r="E83">
        <v>2</v>
      </c>
      <c r="F83">
        <v>4</v>
      </c>
      <c r="G83" s="2" t="s">
        <v>110</v>
      </c>
      <c r="H83" s="2" t="s">
        <v>69</v>
      </c>
      <c r="I83" s="2" t="s">
        <v>78</v>
      </c>
      <c r="J83" s="2" t="s">
        <v>75</v>
      </c>
      <c r="K83" s="2" t="s">
        <v>71</v>
      </c>
      <c r="L83">
        <v>11</v>
      </c>
      <c r="M83">
        <v>1013.23</v>
      </c>
      <c r="N83">
        <v>11145.53</v>
      </c>
      <c r="O83" t="s">
        <v>22</v>
      </c>
      <c r="P83" s="2" t="s">
        <v>30</v>
      </c>
      <c r="Q83" s="2" t="s">
        <v>24</v>
      </c>
    </row>
    <row r="84" spans="1:17" hidden="1" x14ac:dyDescent="0.3">
      <c r="A84">
        <v>202400416</v>
      </c>
      <c r="B84" s="1">
        <v>45637</v>
      </c>
      <c r="C84">
        <v>2024</v>
      </c>
      <c r="D84">
        <v>4</v>
      </c>
      <c r="E84">
        <v>12</v>
      </c>
      <c r="F84">
        <v>3</v>
      </c>
      <c r="G84" s="2" t="s">
        <v>44</v>
      </c>
      <c r="H84" s="2" t="s">
        <v>26</v>
      </c>
      <c r="I84" s="2" t="s">
        <v>38</v>
      </c>
      <c r="J84" s="2" t="s">
        <v>20</v>
      </c>
      <c r="K84" s="2" t="s">
        <v>51</v>
      </c>
      <c r="L84">
        <v>2</v>
      </c>
      <c r="M84">
        <v>737.34</v>
      </c>
      <c r="N84">
        <v>1474.68</v>
      </c>
      <c r="O84" t="s">
        <v>36</v>
      </c>
      <c r="P84" s="2" t="s">
        <v>43</v>
      </c>
      <c r="Q84" s="2" t="s">
        <v>41</v>
      </c>
    </row>
    <row r="85" spans="1:17" hidden="1" x14ac:dyDescent="0.3">
      <c r="A85">
        <v>202400391</v>
      </c>
      <c r="B85" s="1">
        <v>45543</v>
      </c>
      <c r="C85">
        <v>2024</v>
      </c>
      <c r="D85">
        <v>3</v>
      </c>
      <c r="E85">
        <v>9</v>
      </c>
      <c r="F85">
        <v>8</v>
      </c>
      <c r="G85" s="2" t="s">
        <v>63</v>
      </c>
      <c r="H85" s="2" t="s">
        <v>26</v>
      </c>
      <c r="I85" s="2" t="s">
        <v>54</v>
      </c>
      <c r="J85" s="2" t="s">
        <v>20</v>
      </c>
      <c r="K85" s="2" t="s">
        <v>58</v>
      </c>
      <c r="L85">
        <v>8</v>
      </c>
      <c r="M85">
        <v>1965.98</v>
      </c>
      <c r="N85">
        <v>15727.84</v>
      </c>
      <c r="O85" t="s">
        <v>29</v>
      </c>
      <c r="P85" s="2" t="s">
        <v>23</v>
      </c>
      <c r="Q85" s="2" t="s">
        <v>24</v>
      </c>
    </row>
    <row r="86" spans="1:17" hidden="1" x14ac:dyDescent="0.3">
      <c r="A86">
        <v>202400322</v>
      </c>
      <c r="B86" s="1">
        <v>45538</v>
      </c>
      <c r="C86">
        <v>2024</v>
      </c>
      <c r="D86">
        <v>3</v>
      </c>
      <c r="E86">
        <v>9</v>
      </c>
      <c r="F86">
        <v>73</v>
      </c>
      <c r="G86" s="2" t="s">
        <v>111</v>
      </c>
      <c r="H86" s="2" t="s">
        <v>26</v>
      </c>
      <c r="I86" s="2" t="s">
        <v>27</v>
      </c>
      <c r="J86" s="2" t="s">
        <v>20</v>
      </c>
      <c r="K86" s="2" t="s">
        <v>58</v>
      </c>
      <c r="L86">
        <v>6</v>
      </c>
      <c r="M86">
        <v>1002.47</v>
      </c>
      <c r="N86">
        <v>6014.82</v>
      </c>
      <c r="O86" t="s">
        <v>29</v>
      </c>
      <c r="P86" s="2" t="s">
        <v>43</v>
      </c>
      <c r="Q86" s="2" t="s">
        <v>41</v>
      </c>
    </row>
    <row r="87" spans="1:17" hidden="1" x14ac:dyDescent="0.3">
      <c r="A87">
        <v>202400653</v>
      </c>
      <c r="B87" s="1">
        <v>45384</v>
      </c>
      <c r="C87">
        <v>2024</v>
      </c>
      <c r="D87">
        <v>2</v>
      </c>
      <c r="E87">
        <v>4</v>
      </c>
      <c r="F87">
        <v>45</v>
      </c>
      <c r="G87" s="2" t="s">
        <v>103</v>
      </c>
      <c r="H87" s="2" t="s">
        <v>26</v>
      </c>
      <c r="I87" s="2" t="s">
        <v>56</v>
      </c>
      <c r="J87" s="2" t="s">
        <v>57</v>
      </c>
      <c r="K87" s="2" t="s">
        <v>42</v>
      </c>
      <c r="L87">
        <v>12</v>
      </c>
      <c r="M87">
        <v>1008.54</v>
      </c>
      <c r="N87">
        <v>12102.48</v>
      </c>
      <c r="O87" t="s">
        <v>22</v>
      </c>
      <c r="P87" s="2" t="s">
        <v>48</v>
      </c>
      <c r="Q87" s="2" t="s">
        <v>40</v>
      </c>
    </row>
    <row r="88" spans="1:17" x14ac:dyDescent="0.3">
      <c r="A88">
        <v>202400241</v>
      </c>
      <c r="B88" s="1">
        <v>45374</v>
      </c>
      <c r="C88">
        <v>2024</v>
      </c>
      <c r="D88">
        <v>1</v>
      </c>
      <c r="E88">
        <v>3</v>
      </c>
      <c r="F88">
        <v>45</v>
      </c>
      <c r="G88" s="2" t="s">
        <v>103</v>
      </c>
      <c r="H88" s="2" t="s">
        <v>26</v>
      </c>
      <c r="I88" s="2" t="s">
        <v>56</v>
      </c>
      <c r="J88" s="2" t="s">
        <v>57</v>
      </c>
      <c r="K88" s="2" t="s">
        <v>35</v>
      </c>
      <c r="L88">
        <v>2</v>
      </c>
      <c r="M88">
        <v>1017.75</v>
      </c>
      <c r="N88">
        <v>2035.5</v>
      </c>
      <c r="O88" t="s">
        <v>36</v>
      </c>
      <c r="P88" s="2" t="s">
        <v>43</v>
      </c>
      <c r="Q88" s="2" t="s">
        <v>24</v>
      </c>
    </row>
    <row r="89" spans="1:17" x14ac:dyDescent="0.3">
      <c r="A89">
        <v>202400234</v>
      </c>
      <c r="B89" s="1">
        <v>45321</v>
      </c>
      <c r="C89">
        <v>2024</v>
      </c>
      <c r="D89">
        <v>1</v>
      </c>
      <c r="E89">
        <v>1</v>
      </c>
      <c r="F89">
        <v>65</v>
      </c>
      <c r="G89" s="2" t="s">
        <v>112</v>
      </c>
      <c r="H89" s="2" t="s">
        <v>69</v>
      </c>
      <c r="I89" s="2" t="s">
        <v>19</v>
      </c>
      <c r="J89" s="2" t="s">
        <v>20</v>
      </c>
      <c r="K89" s="2" t="s">
        <v>39</v>
      </c>
      <c r="L89">
        <v>12</v>
      </c>
      <c r="M89">
        <v>1076.3</v>
      </c>
      <c r="N89">
        <v>12915.599999999999</v>
      </c>
      <c r="O89" t="s">
        <v>22</v>
      </c>
      <c r="P89" s="2" t="s">
        <v>43</v>
      </c>
      <c r="Q89" s="2" t="s">
        <v>24</v>
      </c>
    </row>
    <row r="90" spans="1:17" hidden="1" x14ac:dyDescent="0.3">
      <c r="A90">
        <v>202400055</v>
      </c>
      <c r="B90" s="1">
        <v>45473</v>
      </c>
      <c r="C90">
        <v>2024</v>
      </c>
      <c r="D90">
        <v>2</v>
      </c>
      <c r="E90">
        <v>6</v>
      </c>
      <c r="F90">
        <v>50</v>
      </c>
      <c r="G90" s="2" t="s">
        <v>37</v>
      </c>
      <c r="H90" s="2" t="s">
        <v>62</v>
      </c>
      <c r="I90" s="2" t="s">
        <v>38</v>
      </c>
      <c r="J90" s="2" t="s">
        <v>20</v>
      </c>
      <c r="K90" s="2" t="s">
        <v>59</v>
      </c>
      <c r="L90">
        <v>10</v>
      </c>
      <c r="M90">
        <v>51.18</v>
      </c>
      <c r="N90">
        <v>511.8</v>
      </c>
      <c r="O90" t="s">
        <v>22</v>
      </c>
      <c r="P90" s="2" t="s">
        <v>48</v>
      </c>
      <c r="Q90" s="2" t="s">
        <v>24</v>
      </c>
    </row>
    <row r="91" spans="1:17" x14ac:dyDescent="0.3">
      <c r="A91">
        <v>202401176</v>
      </c>
      <c r="B91" s="1">
        <v>45332</v>
      </c>
      <c r="C91">
        <v>2024</v>
      </c>
      <c r="D91">
        <v>1</v>
      </c>
      <c r="E91">
        <v>2</v>
      </c>
      <c r="F91">
        <v>76</v>
      </c>
      <c r="G91" s="2" t="s">
        <v>104</v>
      </c>
      <c r="H91" s="2" t="s">
        <v>140</v>
      </c>
      <c r="I91" s="2" t="s">
        <v>33</v>
      </c>
      <c r="J91" s="2" t="s">
        <v>34</v>
      </c>
      <c r="K91" s="2" t="s">
        <v>51</v>
      </c>
      <c r="L91">
        <v>5</v>
      </c>
      <c r="M91">
        <v>1772.27</v>
      </c>
      <c r="N91">
        <v>8861.35</v>
      </c>
      <c r="O91" t="s">
        <v>29</v>
      </c>
      <c r="P91" s="2" t="s">
        <v>30</v>
      </c>
      <c r="Q91" s="2" t="s">
        <v>41</v>
      </c>
    </row>
    <row r="92" spans="1:17" hidden="1" x14ac:dyDescent="0.3">
      <c r="A92">
        <v>202400199</v>
      </c>
      <c r="B92" s="1">
        <v>45598</v>
      </c>
      <c r="C92">
        <v>2024</v>
      </c>
      <c r="D92">
        <v>4</v>
      </c>
      <c r="E92">
        <v>11</v>
      </c>
      <c r="F92">
        <v>45</v>
      </c>
      <c r="G92" s="2" t="s">
        <v>103</v>
      </c>
      <c r="H92" s="2" t="s">
        <v>26</v>
      </c>
      <c r="I92" s="2" t="s">
        <v>56</v>
      </c>
      <c r="J92" s="2" t="s">
        <v>57</v>
      </c>
      <c r="K92" s="2" t="s">
        <v>35</v>
      </c>
      <c r="L92">
        <v>3</v>
      </c>
      <c r="M92">
        <v>394.97</v>
      </c>
      <c r="N92">
        <v>1184.9100000000001</v>
      </c>
      <c r="O92" t="s">
        <v>29</v>
      </c>
      <c r="P92" s="2" t="s">
        <v>48</v>
      </c>
      <c r="Q92" s="2" t="s">
        <v>24</v>
      </c>
    </row>
    <row r="93" spans="1:17" hidden="1" x14ac:dyDescent="0.3">
      <c r="A93">
        <v>202400110</v>
      </c>
      <c r="B93" s="1">
        <v>45614</v>
      </c>
      <c r="C93">
        <v>2024</v>
      </c>
      <c r="D93">
        <v>4</v>
      </c>
      <c r="E93">
        <v>11</v>
      </c>
      <c r="F93">
        <v>53</v>
      </c>
      <c r="G93" s="2" t="s">
        <v>113</v>
      </c>
      <c r="H93" s="2" t="s">
        <v>26</v>
      </c>
      <c r="I93" s="2" t="s">
        <v>27</v>
      </c>
      <c r="J93" s="2" t="s">
        <v>20</v>
      </c>
      <c r="K93" s="2" t="s">
        <v>50</v>
      </c>
      <c r="L93">
        <v>5</v>
      </c>
      <c r="M93">
        <v>1074.02</v>
      </c>
      <c r="N93">
        <v>5370.1</v>
      </c>
      <c r="O93" t="s">
        <v>29</v>
      </c>
      <c r="P93" s="2" t="s">
        <v>43</v>
      </c>
      <c r="Q93" s="2" t="s">
        <v>24</v>
      </c>
    </row>
    <row r="94" spans="1:17" hidden="1" x14ac:dyDescent="0.3">
      <c r="A94">
        <v>202400057</v>
      </c>
      <c r="B94" s="1">
        <v>45523</v>
      </c>
      <c r="C94">
        <v>2024</v>
      </c>
      <c r="D94">
        <v>3</v>
      </c>
      <c r="E94">
        <v>8</v>
      </c>
      <c r="F94">
        <v>28</v>
      </c>
      <c r="G94" s="2" t="s">
        <v>114</v>
      </c>
      <c r="H94" s="2" t="s">
        <v>62</v>
      </c>
      <c r="I94" s="2" t="s">
        <v>33</v>
      </c>
      <c r="J94" s="2" t="s">
        <v>34</v>
      </c>
      <c r="K94" s="2" t="s">
        <v>70</v>
      </c>
      <c r="L94">
        <v>8</v>
      </c>
      <c r="M94">
        <v>525.78</v>
      </c>
      <c r="N94">
        <v>4206.24</v>
      </c>
      <c r="O94" t="s">
        <v>29</v>
      </c>
      <c r="P94" s="2" t="s">
        <v>48</v>
      </c>
      <c r="Q94" s="2" t="s">
        <v>24</v>
      </c>
    </row>
    <row r="95" spans="1:17" hidden="1" x14ac:dyDescent="0.3">
      <c r="A95">
        <v>202400087</v>
      </c>
      <c r="B95" s="1">
        <v>45502</v>
      </c>
      <c r="C95">
        <v>2024</v>
      </c>
      <c r="D95">
        <v>3</v>
      </c>
      <c r="E95">
        <v>7</v>
      </c>
      <c r="F95">
        <v>49</v>
      </c>
      <c r="G95" s="2" t="s">
        <v>83</v>
      </c>
      <c r="H95" s="2" t="s">
        <v>69</v>
      </c>
      <c r="I95" s="2" t="s">
        <v>56</v>
      </c>
      <c r="J95" s="2" t="s">
        <v>57</v>
      </c>
      <c r="K95" s="2" t="s">
        <v>39</v>
      </c>
      <c r="L95">
        <v>3</v>
      </c>
      <c r="M95">
        <v>841.42</v>
      </c>
      <c r="N95">
        <v>2524.2599999999998</v>
      </c>
      <c r="O95" t="s">
        <v>29</v>
      </c>
      <c r="P95" s="2" t="s">
        <v>30</v>
      </c>
      <c r="Q95" s="2" t="s">
        <v>24</v>
      </c>
    </row>
    <row r="96" spans="1:17" x14ac:dyDescent="0.3">
      <c r="A96">
        <v>202400707</v>
      </c>
      <c r="B96" s="1">
        <v>45369</v>
      </c>
      <c r="C96">
        <v>2024</v>
      </c>
      <c r="D96">
        <v>1</v>
      </c>
      <c r="E96">
        <v>3</v>
      </c>
      <c r="F96">
        <v>15</v>
      </c>
      <c r="G96" s="2" t="s">
        <v>115</v>
      </c>
      <c r="H96" s="2" t="s">
        <v>140</v>
      </c>
      <c r="I96" s="2" t="s">
        <v>19</v>
      </c>
      <c r="J96" s="2" t="s">
        <v>20</v>
      </c>
      <c r="K96" s="2" t="s">
        <v>52</v>
      </c>
      <c r="L96">
        <v>4</v>
      </c>
      <c r="M96">
        <v>1394.28</v>
      </c>
      <c r="N96">
        <v>5577.12</v>
      </c>
      <c r="O96" t="s">
        <v>29</v>
      </c>
      <c r="P96" s="2" t="s">
        <v>43</v>
      </c>
      <c r="Q96" s="2" t="s">
        <v>24</v>
      </c>
    </row>
    <row r="97" spans="1:17" x14ac:dyDescent="0.3">
      <c r="A97">
        <v>202401023</v>
      </c>
      <c r="B97" s="1">
        <v>45295</v>
      </c>
      <c r="C97">
        <v>2024</v>
      </c>
      <c r="D97">
        <v>1</v>
      </c>
      <c r="E97">
        <v>1</v>
      </c>
      <c r="F97">
        <v>61</v>
      </c>
      <c r="G97" s="2" t="s">
        <v>90</v>
      </c>
      <c r="H97" s="2" t="s">
        <v>69</v>
      </c>
      <c r="I97" s="2" t="s">
        <v>65</v>
      </c>
      <c r="J97" s="2" t="s">
        <v>34</v>
      </c>
      <c r="K97" s="2" t="s">
        <v>97</v>
      </c>
      <c r="L97">
        <v>8</v>
      </c>
      <c r="M97">
        <v>1741.53</v>
      </c>
      <c r="N97">
        <v>13932.24</v>
      </c>
      <c r="O97" t="s">
        <v>29</v>
      </c>
      <c r="P97" s="2" t="s">
        <v>30</v>
      </c>
      <c r="Q97" s="2" t="s">
        <v>40</v>
      </c>
    </row>
    <row r="98" spans="1:17" hidden="1" x14ac:dyDescent="0.3">
      <c r="A98">
        <v>202400544</v>
      </c>
      <c r="B98" s="1">
        <v>45585</v>
      </c>
      <c r="C98">
        <v>2024</v>
      </c>
      <c r="D98">
        <v>4</v>
      </c>
      <c r="E98">
        <v>10</v>
      </c>
      <c r="F98">
        <v>21</v>
      </c>
      <c r="G98" s="2" t="s">
        <v>53</v>
      </c>
      <c r="H98" s="2" t="s">
        <v>26</v>
      </c>
      <c r="I98" s="2" t="s">
        <v>78</v>
      </c>
      <c r="J98" s="2" t="s">
        <v>75</v>
      </c>
      <c r="K98" s="2" t="s">
        <v>97</v>
      </c>
      <c r="L98">
        <v>12</v>
      </c>
      <c r="M98">
        <v>1623.79</v>
      </c>
      <c r="N98">
        <v>19485.48</v>
      </c>
      <c r="O98" t="s">
        <v>22</v>
      </c>
      <c r="P98" s="2" t="s">
        <v>23</v>
      </c>
      <c r="Q98" s="2" t="s">
        <v>41</v>
      </c>
    </row>
    <row r="99" spans="1:17" hidden="1" x14ac:dyDescent="0.3">
      <c r="A99">
        <v>202401175</v>
      </c>
      <c r="B99" s="1">
        <v>45414</v>
      </c>
      <c r="C99">
        <v>2024</v>
      </c>
      <c r="D99">
        <v>2</v>
      </c>
      <c r="E99">
        <v>5</v>
      </c>
      <c r="F99">
        <v>20</v>
      </c>
      <c r="G99" s="2" t="s">
        <v>81</v>
      </c>
      <c r="H99" s="2" t="s">
        <v>69</v>
      </c>
      <c r="I99" s="2" t="s">
        <v>56</v>
      </c>
      <c r="J99" s="2" t="s">
        <v>57</v>
      </c>
      <c r="K99" s="2" t="s">
        <v>42</v>
      </c>
      <c r="L99">
        <v>4</v>
      </c>
      <c r="M99">
        <v>1716.04</v>
      </c>
      <c r="N99">
        <v>6864.16</v>
      </c>
      <c r="O99" t="s">
        <v>29</v>
      </c>
      <c r="P99" s="2" t="s">
        <v>30</v>
      </c>
      <c r="Q99" s="2" t="s">
        <v>45</v>
      </c>
    </row>
    <row r="100" spans="1:17" x14ac:dyDescent="0.3">
      <c r="A100">
        <v>202400742</v>
      </c>
      <c r="B100" s="1">
        <v>45336</v>
      </c>
      <c r="C100">
        <v>2024</v>
      </c>
      <c r="D100">
        <v>1</v>
      </c>
      <c r="E100">
        <v>2</v>
      </c>
      <c r="F100">
        <v>48</v>
      </c>
      <c r="G100" s="2" t="s">
        <v>82</v>
      </c>
      <c r="H100" s="2" t="s">
        <v>140</v>
      </c>
      <c r="I100" s="2" t="s">
        <v>78</v>
      </c>
      <c r="J100" s="2" t="s">
        <v>75</v>
      </c>
      <c r="K100" s="2" t="s">
        <v>28</v>
      </c>
      <c r="L100">
        <v>4</v>
      </c>
      <c r="M100">
        <v>943.67</v>
      </c>
      <c r="N100">
        <v>3774.68</v>
      </c>
      <c r="O100" t="s">
        <v>29</v>
      </c>
      <c r="P100" s="2" t="s">
        <v>30</v>
      </c>
      <c r="Q100" s="2" t="s">
        <v>24</v>
      </c>
    </row>
    <row r="101" spans="1:17" hidden="1" x14ac:dyDescent="0.3">
      <c r="A101">
        <v>202400915</v>
      </c>
      <c r="B101" s="1">
        <v>45394</v>
      </c>
      <c r="C101">
        <v>2024</v>
      </c>
      <c r="D101">
        <v>2</v>
      </c>
      <c r="E101">
        <v>4</v>
      </c>
      <c r="F101">
        <v>2</v>
      </c>
      <c r="G101" s="2" t="s">
        <v>32</v>
      </c>
      <c r="H101" s="2" t="s">
        <v>140</v>
      </c>
      <c r="I101" s="2" t="s">
        <v>33</v>
      </c>
      <c r="J101" s="2" t="s">
        <v>34</v>
      </c>
      <c r="K101" s="2" t="s">
        <v>42</v>
      </c>
      <c r="L101">
        <v>3</v>
      </c>
      <c r="M101">
        <v>1143.6600000000001</v>
      </c>
      <c r="N101">
        <v>3430.9800000000005</v>
      </c>
      <c r="O101" t="s">
        <v>29</v>
      </c>
      <c r="P101" s="2" t="s">
        <v>48</v>
      </c>
      <c r="Q101" s="2" t="s">
        <v>24</v>
      </c>
    </row>
    <row r="102" spans="1:17" hidden="1" x14ac:dyDescent="0.3">
      <c r="A102">
        <v>202400874</v>
      </c>
      <c r="B102" s="1">
        <v>45504</v>
      </c>
      <c r="C102">
        <v>2024</v>
      </c>
      <c r="D102">
        <v>3</v>
      </c>
      <c r="E102">
        <v>7</v>
      </c>
      <c r="F102">
        <v>73</v>
      </c>
      <c r="G102" s="2" t="s">
        <v>111</v>
      </c>
      <c r="H102" s="2" t="s">
        <v>26</v>
      </c>
      <c r="I102" s="2" t="s">
        <v>27</v>
      </c>
      <c r="J102" s="2" t="s">
        <v>20</v>
      </c>
      <c r="K102" s="2" t="s">
        <v>59</v>
      </c>
      <c r="L102">
        <v>14</v>
      </c>
      <c r="M102">
        <v>1591.74</v>
      </c>
      <c r="N102">
        <v>22284.36</v>
      </c>
      <c r="O102" t="s">
        <v>22</v>
      </c>
      <c r="P102" s="2" t="s">
        <v>30</v>
      </c>
      <c r="Q102" s="2" t="s">
        <v>24</v>
      </c>
    </row>
    <row r="103" spans="1:17" x14ac:dyDescent="0.3">
      <c r="A103">
        <v>202401147</v>
      </c>
      <c r="B103" s="1">
        <v>45373</v>
      </c>
      <c r="C103">
        <v>2024</v>
      </c>
      <c r="D103">
        <v>1</v>
      </c>
      <c r="E103">
        <v>3</v>
      </c>
      <c r="F103">
        <v>64</v>
      </c>
      <c r="G103" s="2" t="s">
        <v>106</v>
      </c>
      <c r="H103" s="2" t="s">
        <v>26</v>
      </c>
      <c r="I103" s="2" t="s">
        <v>27</v>
      </c>
      <c r="J103" s="2" t="s">
        <v>20</v>
      </c>
      <c r="K103" s="2" t="s">
        <v>50</v>
      </c>
      <c r="L103">
        <v>13</v>
      </c>
      <c r="M103">
        <v>155.71</v>
      </c>
      <c r="N103">
        <v>2024.23</v>
      </c>
      <c r="O103" t="s">
        <v>22</v>
      </c>
      <c r="P103" s="2" t="s">
        <v>43</v>
      </c>
      <c r="Q103" s="2" t="s">
        <v>24</v>
      </c>
    </row>
    <row r="104" spans="1:17" hidden="1" x14ac:dyDescent="0.3">
      <c r="A104">
        <v>202400658</v>
      </c>
      <c r="B104" s="1">
        <v>45590</v>
      </c>
      <c r="C104">
        <v>2024</v>
      </c>
      <c r="D104">
        <v>4</v>
      </c>
      <c r="E104">
        <v>10</v>
      </c>
      <c r="F104">
        <v>53</v>
      </c>
      <c r="G104" s="2" t="s">
        <v>113</v>
      </c>
      <c r="H104" s="2" t="s">
        <v>26</v>
      </c>
      <c r="I104" s="2" t="s">
        <v>27</v>
      </c>
      <c r="J104" s="2" t="s">
        <v>20</v>
      </c>
      <c r="K104" s="2" t="s">
        <v>42</v>
      </c>
      <c r="L104">
        <v>10</v>
      </c>
      <c r="M104">
        <v>1963.03</v>
      </c>
      <c r="N104">
        <v>19630.3</v>
      </c>
      <c r="O104" t="s">
        <v>22</v>
      </c>
      <c r="P104" s="2" t="s">
        <v>30</v>
      </c>
      <c r="Q104" s="2" t="s">
        <v>24</v>
      </c>
    </row>
    <row r="105" spans="1:17" hidden="1" x14ac:dyDescent="0.3">
      <c r="A105">
        <v>202401020</v>
      </c>
      <c r="B105" s="1">
        <v>45406</v>
      </c>
      <c r="C105">
        <v>2024</v>
      </c>
      <c r="D105">
        <v>2</v>
      </c>
      <c r="E105">
        <v>4</v>
      </c>
      <c r="F105">
        <v>15</v>
      </c>
      <c r="G105" s="2" t="s">
        <v>115</v>
      </c>
      <c r="H105" s="2" t="s">
        <v>140</v>
      </c>
      <c r="I105" s="2" t="s">
        <v>19</v>
      </c>
      <c r="J105" s="2" t="s">
        <v>20</v>
      </c>
      <c r="K105" s="2" t="s">
        <v>60</v>
      </c>
      <c r="L105">
        <v>3</v>
      </c>
      <c r="M105">
        <v>1053.8</v>
      </c>
      <c r="N105">
        <v>3161.3999999999996</v>
      </c>
      <c r="O105" t="s">
        <v>29</v>
      </c>
      <c r="P105" s="2" t="s">
        <v>43</v>
      </c>
      <c r="Q105" s="2" t="s">
        <v>24</v>
      </c>
    </row>
    <row r="106" spans="1:17" hidden="1" x14ac:dyDescent="0.3">
      <c r="A106">
        <v>202400555</v>
      </c>
      <c r="B106" s="1">
        <v>45394</v>
      </c>
      <c r="C106">
        <v>2024</v>
      </c>
      <c r="D106">
        <v>2</v>
      </c>
      <c r="E106">
        <v>4</v>
      </c>
      <c r="F106">
        <v>49</v>
      </c>
      <c r="G106" s="2" t="s">
        <v>83</v>
      </c>
      <c r="H106" s="2" t="s">
        <v>69</v>
      </c>
      <c r="I106" s="2" t="s">
        <v>56</v>
      </c>
      <c r="J106" s="2" t="s">
        <v>57</v>
      </c>
      <c r="K106" s="2" t="s">
        <v>58</v>
      </c>
      <c r="L106">
        <v>13</v>
      </c>
      <c r="M106">
        <v>1624.64</v>
      </c>
      <c r="N106">
        <v>21120.32</v>
      </c>
      <c r="O106" t="s">
        <v>22</v>
      </c>
      <c r="P106" s="2" t="s">
        <v>23</v>
      </c>
      <c r="Q106" s="2" t="s">
        <v>24</v>
      </c>
    </row>
    <row r="107" spans="1:17" hidden="1" x14ac:dyDescent="0.3">
      <c r="A107">
        <v>202400210</v>
      </c>
      <c r="B107" s="1">
        <v>45462</v>
      </c>
      <c r="C107">
        <v>2024</v>
      </c>
      <c r="D107">
        <v>2</v>
      </c>
      <c r="E107">
        <v>6</v>
      </c>
      <c r="F107">
        <v>52</v>
      </c>
      <c r="G107" s="2" t="s">
        <v>105</v>
      </c>
      <c r="H107" s="2" t="s">
        <v>62</v>
      </c>
      <c r="I107" s="2" t="s">
        <v>78</v>
      </c>
      <c r="J107" s="2" t="s">
        <v>75</v>
      </c>
      <c r="K107" s="2" t="s">
        <v>70</v>
      </c>
      <c r="L107">
        <v>2</v>
      </c>
      <c r="M107">
        <v>307.70999999999998</v>
      </c>
      <c r="N107">
        <v>615.41999999999996</v>
      </c>
      <c r="O107" t="s">
        <v>36</v>
      </c>
      <c r="P107" s="2" t="s">
        <v>43</v>
      </c>
      <c r="Q107" s="2" t="s">
        <v>24</v>
      </c>
    </row>
    <row r="108" spans="1:17" hidden="1" x14ac:dyDescent="0.3">
      <c r="A108">
        <v>202400635</v>
      </c>
      <c r="B108" s="1">
        <v>45571</v>
      </c>
      <c r="C108">
        <v>2024</v>
      </c>
      <c r="D108">
        <v>4</v>
      </c>
      <c r="E108">
        <v>10</v>
      </c>
      <c r="F108">
        <v>18</v>
      </c>
      <c r="G108" s="2" t="s">
        <v>116</v>
      </c>
      <c r="H108" s="2" t="s">
        <v>62</v>
      </c>
      <c r="I108" s="2" t="s">
        <v>54</v>
      </c>
      <c r="J108" s="2" t="s">
        <v>20</v>
      </c>
      <c r="K108" s="2" t="s">
        <v>71</v>
      </c>
      <c r="L108">
        <v>14</v>
      </c>
      <c r="M108">
        <v>334.3</v>
      </c>
      <c r="N108">
        <v>4680.2</v>
      </c>
      <c r="O108" t="s">
        <v>22</v>
      </c>
      <c r="P108" s="2" t="s">
        <v>43</v>
      </c>
      <c r="Q108" s="2" t="s">
        <v>24</v>
      </c>
    </row>
    <row r="109" spans="1:17" hidden="1" x14ac:dyDescent="0.3">
      <c r="A109">
        <v>202400631</v>
      </c>
      <c r="B109" s="1">
        <v>45525</v>
      </c>
      <c r="C109">
        <v>2024</v>
      </c>
      <c r="D109">
        <v>3</v>
      </c>
      <c r="E109">
        <v>8</v>
      </c>
      <c r="F109">
        <v>45</v>
      </c>
      <c r="G109" s="2" t="s">
        <v>103</v>
      </c>
      <c r="H109" s="2" t="s">
        <v>26</v>
      </c>
      <c r="I109" s="2" t="s">
        <v>56</v>
      </c>
      <c r="J109" s="2" t="s">
        <v>57</v>
      </c>
      <c r="K109" s="2" t="s">
        <v>28</v>
      </c>
      <c r="L109">
        <v>10</v>
      </c>
      <c r="M109">
        <v>1368.72</v>
      </c>
      <c r="N109">
        <v>13687.2</v>
      </c>
      <c r="O109" t="s">
        <v>22</v>
      </c>
      <c r="P109" s="2" t="s">
        <v>30</v>
      </c>
      <c r="Q109" s="2" t="s">
        <v>24</v>
      </c>
    </row>
    <row r="110" spans="1:17" hidden="1" x14ac:dyDescent="0.3">
      <c r="A110">
        <v>202400410</v>
      </c>
      <c r="B110" s="1">
        <v>45571</v>
      </c>
      <c r="C110">
        <v>2024</v>
      </c>
      <c r="D110">
        <v>4</v>
      </c>
      <c r="E110">
        <v>10</v>
      </c>
      <c r="F110">
        <v>15</v>
      </c>
      <c r="G110" s="2" t="s">
        <v>115</v>
      </c>
      <c r="H110" s="2" t="s">
        <v>140</v>
      </c>
      <c r="I110" s="2" t="s">
        <v>19</v>
      </c>
      <c r="J110" s="2" t="s">
        <v>20</v>
      </c>
      <c r="K110" s="2" t="s">
        <v>21</v>
      </c>
      <c r="L110">
        <v>3</v>
      </c>
      <c r="M110">
        <v>1895.85</v>
      </c>
      <c r="N110">
        <v>5687.5499999999993</v>
      </c>
      <c r="O110" t="s">
        <v>29</v>
      </c>
      <c r="P110" s="2" t="s">
        <v>43</v>
      </c>
      <c r="Q110" s="2" t="s">
        <v>24</v>
      </c>
    </row>
    <row r="111" spans="1:17" hidden="1" x14ac:dyDescent="0.3">
      <c r="A111">
        <v>202401032</v>
      </c>
      <c r="B111" s="1">
        <v>45530</v>
      </c>
      <c r="C111">
        <v>2024</v>
      </c>
      <c r="D111">
        <v>3</v>
      </c>
      <c r="E111">
        <v>8</v>
      </c>
      <c r="F111">
        <v>64</v>
      </c>
      <c r="G111" s="2" t="s">
        <v>106</v>
      </c>
      <c r="H111" s="2" t="s">
        <v>26</v>
      </c>
      <c r="I111" s="2" t="s">
        <v>27</v>
      </c>
      <c r="J111" s="2" t="s">
        <v>20</v>
      </c>
      <c r="K111" s="2" t="s">
        <v>21</v>
      </c>
      <c r="L111">
        <v>14</v>
      </c>
      <c r="M111">
        <v>1955.61</v>
      </c>
      <c r="N111">
        <v>27378.539999999997</v>
      </c>
      <c r="O111" t="s">
        <v>22</v>
      </c>
      <c r="P111" s="2" t="s">
        <v>30</v>
      </c>
      <c r="Q111" s="2" t="s">
        <v>24</v>
      </c>
    </row>
    <row r="112" spans="1:17" hidden="1" x14ac:dyDescent="0.3">
      <c r="A112">
        <v>202400644</v>
      </c>
      <c r="B112" s="1">
        <v>45441</v>
      </c>
      <c r="C112">
        <v>2024</v>
      </c>
      <c r="D112">
        <v>2</v>
      </c>
      <c r="E112">
        <v>5</v>
      </c>
      <c r="F112">
        <v>69</v>
      </c>
      <c r="G112" s="2" t="s">
        <v>98</v>
      </c>
      <c r="H112" s="2" t="s">
        <v>62</v>
      </c>
      <c r="I112" s="2" t="s">
        <v>67</v>
      </c>
      <c r="J112" s="2" t="s">
        <v>20</v>
      </c>
      <c r="K112" s="2" t="s">
        <v>70</v>
      </c>
      <c r="L112">
        <v>3</v>
      </c>
      <c r="M112">
        <v>1355.03</v>
      </c>
      <c r="N112">
        <v>4065.09</v>
      </c>
      <c r="O112" t="s">
        <v>29</v>
      </c>
      <c r="P112" s="2" t="s">
        <v>43</v>
      </c>
      <c r="Q112" s="2" t="s">
        <v>40</v>
      </c>
    </row>
    <row r="113" spans="1:17" hidden="1" x14ac:dyDescent="0.3">
      <c r="A113">
        <v>202400466</v>
      </c>
      <c r="B113" s="1">
        <v>45491</v>
      </c>
      <c r="C113">
        <v>2024</v>
      </c>
      <c r="D113">
        <v>3</v>
      </c>
      <c r="E113">
        <v>7</v>
      </c>
      <c r="F113">
        <v>50</v>
      </c>
      <c r="G113" s="2" t="s">
        <v>37</v>
      </c>
      <c r="H113" s="2" t="s">
        <v>62</v>
      </c>
      <c r="I113" s="2" t="s">
        <v>38</v>
      </c>
      <c r="J113" s="2" t="s">
        <v>20</v>
      </c>
      <c r="K113" s="2" t="s">
        <v>52</v>
      </c>
      <c r="L113">
        <v>5</v>
      </c>
      <c r="M113">
        <v>1684.23</v>
      </c>
      <c r="N113">
        <v>8421.15</v>
      </c>
      <c r="O113" t="s">
        <v>29</v>
      </c>
      <c r="P113" s="2" t="s">
        <v>30</v>
      </c>
      <c r="Q113" s="2" t="s">
        <v>31</v>
      </c>
    </row>
    <row r="114" spans="1:17" hidden="1" x14ac:dyDescent="0.3">
      <c r="A114">
        <v>202400406</v>
      </c>
      <c r="B114" s="1">
        <v>45607</v>
      </c>
      <c r="C114">
        <v>2024</v>
      </c>
      <c r="D114">
        <v>4</v>
      </c>
      <c r="E114">
        <v>11</v>
      </c>
      <c r="F114">
        <v>26</v>
      </c>
      <c r="G114" s="2" t="s">
        <v>89</v>
      </c>
      <c r="H114" s="2" t="s">
        <v>62</v>
      </c>
      <c r="I114" s="2" t="s">
        <v>67</v>
      </c>
      <c r="J114" s="2" t="s">
        <v>20</v>
      </c>
      <c r="K114" s="2" t="s">
        <v>42</v>
      </c>
      <c r="L114">
        <v>1</v>
      </c>
      <c r="M114">
        <v>140.91</v>
      </c>
      <c r="N114">
        <v>140.91</v>
      </c>
      <c r="O114" t="s">
        <v>36</v>
      </c>
      <c r="P114" s="2" t="s">
        <v>30</v>
      </c>
      <c r="Q114" s="2" t="s">
        <v>24</v>
      </c>
    </row>
    <row r="115" spans="1:17" hidden="1" x14ac:dyDescent="0.3">
      <c r="A115">
        <v>202400310</v>
      </c>
      <c r="B115" s="1">
        <v>45649</v>
      </c>
      <c r="C115">
        <v>2024</v>
      </c>
      <c r="D115">
        <v>4</v>
      </c>
      <c r="E115">
        <v>12</v>
      </c>
      <c r="F115">
        <v>25</v>
      </c>
      <c r="G115" s="2" t="s">
        <v>117</v>
      </c>
      <c r="H115" s="2" t="s">
        <v>26</v>
      </c>
      <c r="I115" s="2" t="s">
        <v>27</v>
      </c>
      <c r="J115" s="2" t="s">
        <v>20</v>
      </c>
      <c r="K115" s="2" t="s">
        <v>28</v>
      </c>
      <c r="L115">
        <v>14</v>
      </c>
      <c r="M115">
        <v>950.16</v>
      </c>
      <c r="N115">
        <v>13302.24</v>
      </c>
      <c r="O115" t="s">
        <v>22</v>
      </c>
      <c r="P115" s="2" t="s">
        <v>30</v>
      </c>
      <c r="Q115" s="2" t="s">
        <v>24</v>
      </c>
    </row>
    <row r="116" spans="1:17" hidden="1" x14ac:dyDescent="0.3">
      <c r="A116">
        <v>202400454</v>
      </c>
      <c r="B116" s="1">
        <v>45622</v>
      </c>
      <c r="C116">
        <v>2024</v>
      </c>
      <c r="D116">
        <v>4</v>
      </c>
      <c r="E116">
        <v>11</v>
      </c>
      <c r="F116">
        <v>34</v>
      </c>
      <c r="G116" s="2" t="s">
        <v>95</v>
      </c>
      <c r="H116" s="2" t="s">
        <v>18</v>
      </c>
      <c r="I116" s="2" t="s">
        <v>54</v>
      </c>
      <c r="J116" s="2" t="s">
        <v>20</v>
      </c>
      <c r="K116" s="2" t="s">
        <v>35</v>
      </c>
      <c r="L116">
        <v>7</v>
      </c>
      <c r="M116">
        <v>1081.6099999999999</v>
      </c>
      <c r="N116">
        <v>7571.2699999999995</v>
      </c>
      <c r="O116" t="s">
        <v>29</v>
      </c>
      <c r="P116" s="2" t="s">
        <v>43</v>
      </c>
      <c r="Q116" s="2" t="s">
        <v>24</v>
      </c>
    </row>
    <row r="117" spans="1:17" x14ac:dyDescent="0.3">
      <c r="A117">
        <v>202400209</v>
      </c>
      <c r="B117" s="1">
        <v>45310</v>
      </c>
      <c r="C117">
        <v>2024</v>
      </c>
      <c r="D117">
        <v>1</v>
      </c>
      <c r="E117">
        <v>1</v>
      </c>
      <c r="F117">
        <v>62</v>
      </c>
      <c r="G117" s="2" t="s">
        <v>118</v>
      </c>
      <c r="H117" s="2" t="s">
        <v>18</v>
      </c>
      <c r="I117" s="2" t="s">
        <v>54</v>
      </c>
      <c r="J117" s="2" t="s">
        <v>20</v>
      </c>
      <c r="K117" s="2" t="s">
        <v>97</v>
      </c>
      <c r="L117">
        <v>8</v>
      </c>
      <c r="M117">
        <v>1069.81</v>
      </c>
      <c r="N117">
        <v>8558.48</v>
      </c>
      <c r="O117" t="s">
        <v>29</v>
      </c>
      <c r="P117" s="2" t="s">
        <v>43</v>
      </c>
      <c r="Q117" s="2" t="s">
        <v>24</v>
      </c>
    </row>
    <row r="118" spans="1:17" hidden="1" x14ac:dyDescent="0.3">
      <c r="A118">
        <v>202400737</v>
      </c>
      <c r="B118" s="1">
        <v>45434</v>
      </c>
      <c r="C118">
        <v>2024</v>
      </c>
      <c r="D118">
        <v>2</v>
      </c>
      <c r="E118">
        <v>5</v>
      </c>
      <c r="F118">
        <v>70</v>
      </c>
      <c r="G118" s="2" t="s">
        <v>94</v>
      </c>
      <c r="H118" s="2" t="s">
        <v>18</v>
      </c>
      <c r="I118" s="2" t="s">
        <v>78</v>
      </c>
      <c r="J118" s="2" t="s">
        <v>75</v>
      </c>
      <c r="K118" s="2" t="s">
        <v>35</v>
      </c>
      <c r="L118">
        <v>5</v>
      </c>
      <c r="M118">
        <v>1564.81</v>
      </c>
      <c r="N118">
        <v>7824.0499999999993</v>
      </c>
      <c r="O118" t="s">
        <v>29</v>
      </c>
      <c r="P118" s="2" t="s">
        <v>43</v>
      </c>
      <c r="Q118" s="2" t="s">
        <v>24</v>
      </c>
    </row>
    <row r="119" spans="1:17" x14ac:dyDescent="0.3">
      <c r="A119">
        <v>202400244</v>
      </c>
      <c r="B119" s="1">
        <v>45327</v>
      </c>
      <c r="C119">
        <v>2024</v>
      </c>
      <c r="D119">
        <v>1</v>
      </c>
      <c r="E119">
        <v>2</v>
      </c>
      <c r="F119">
        <v>76</v>
      </c>
      <c r="G119" s="2" t="s">
        <v>104</v>
      </c>
      <c r="H119" s="2" t="s">
        <v>140</v>
      </c>
      <c r="I119" s="2" t="s">
        <v>33</v>
      </c>
      <c r="J119" s="2" t="s">
        <v>34</v>
      </c>
      <c r="K119" s="2" t="s">
        <v>42</v>
      </c>
      <c r="L119">
        <v>7</v>
      </c>
      <c r="M119">
        <v>1505.95</v>
      </c>
      <c r="N119">
        <v>10541.65</v>
      </c>
      <c r="O119" t="s">
        <v>29</v>
      </c>
      <c r="P119" s="2" t="s">
        <v>30</v>
      </c>
      <c r="Q119" s="2" t="s">
        <v>24</v>
      </c>
    </row>
    <row r="120" spans="1:17" x14ac:dyDescent="0.3">
      <c r="A120">
        <v>202400156</v>
      </c>
      <c r="B120" s="1">
        <v>45349</v>
      </c>
      <c r="C120">
        <v>2024</v>
      </c>
      <c r="D120">
        <v>1</v>
      </c>
      <c r="E120">
        <v>2</v>
      </c>
      <c r="F120">
        <v>12</v>
      </c>
      <c r="G120" s="2" t="s">
        <v>119</v>
      </c>
      <c r="H120" s="2" t="s">
        <v>26</v>
      </c>
      <c r="I120" s="2" t="s">
        <v>67</v>
      </c>
      <c r="J120" s="2" t="s">
        <v>20</v>
      </c>
      <c r="K120" s="2" t="s">
        <v>97</v>
      </c>
      <c r="L120">
        <v>1</v>
      </c>
      <c r="M120">
        <v>325</v>
      </c>
      <c r="N120">
        <v>325</v>
      </c>
      <c r="O120" t="s">
        <v>36</v>
      </c>
      <c r="P120" s="2" t="s">
        <v>43</v>
      </c>
      <c r="Q120" s="2" t="s">
        <v>41</v>
      </c>
    </row>
    <row r="121" spans="1:17" hidden="1" x14ac:dyDescent="0.3">
      <c r="A121">
        <v>202401115</v>
      </c>
      <c r="B121" s="1">
        <v>45599</v>
      </c>
      <c r="C121">
        <v>2024</v>
      </c>
      <c r="D121">
        <v>4</v>
      </c>
      <c r="E121">
        <v>11</v>
      </c>
      <c r="F121">
        <v>12</v>
      </c>
      <c r="G121" s="2" t="s">
        <v>119</v>
      </c>
      <c r="H121" s="2" t="s">
        <v>26</v>
      </c>
      <c r="I121" s="2" t="s">
        <v>67</v>
      </c>
      <c r="J121" s="2" t="s">
        <v>20</v>
      </c>
      <c r="K121" s="2" t="s">
        <v>60</v>
      </c>
      <c r="L121">
        <v>1</v>
      </c>
      <c r="M121">
        <v>37.770000000000003</v>
      </c>
      <c r="N121">
        <v>37.770000000000003</v>
      </c>
      <c r="O121" t="s">
        <v>36</v>
      </c>
      <c r="P121" s="2" t="s">
        <v>23</v>
      </c>
      <c r="Q121" s="2" t="s">
        <v>24</v>
      </c>
    </row>
    <row r="122" spans="1:17" hidden="1" x14ac:dyDescent="0.3">
      <c r="A122">
        <v>202401043</v>
      </c>
      <c r="B122" s="1">
        <v>45609</v>
      </c>
      <c r="C122">
        <v>2024</v>
      </c>
      <c r="D122">
        <v>4</v>
      </c>
      <c r="E122">
        <v>11</v>
      </c>
      <c r="F122">
        <v>42</v>
      </c>
      <c r="G122" s="2" t="s">
        <v>46</v>
      </c>
      <c r="H122" s="2" t="s">
        <v>26</v>
      </c>
      <c r="I122" s="2" t="s">
        <v>38</v>
      </c>
      <c r="J122" s="2" t="s">
        <v>20</v>
      </c>
      <c r="K122" s="2" t="s">
        <v>21</v>
      </c>
      <c r="L122">
        <v>2</v>
      </c>
      <c r="M122">
        <v>1866.56</v>
      </c>
      <c r="N122">
        <v>3733.12</v>
      </c>
      <c r="O122" t="s">
        <v>36</v>
      </c>
      <c r="P122" s="2" t="s">
        <v>23</v>
      </c>
      <c r="Q122" s="2" t="s">
        <v>24</v>
      </c>
    </row>
    <row r="123" spans="1:17" hidden="1" x14ac:dyDescent="0.3">
      <c r="A123">
        <v>202400835</v>
      </c>
      <c r="B123" s="1">
        <v>45554</v>
      </c>
      <c r="C123">
        <v>2024</v>
      </c>
      <c r="D123">
        <v>3</v>
      </c>
      <c r="E123">
        <v>9</v>
      </c>
      <c r="F123">
        <v>75</v>
      </c>
      <c r="G123" s="2" t="s">
        <v>84</v>
      </c>
      <c r="H123" s="2" t="s">
        <v>62</v>
      </c>
      <c r="I123" s="2" t="s">
        <v>85</v>
      </c>
      <c r="J123" s="2" t="s">
        <v>57</v>
      </c>
      <c r="K123" s="2" t="s">
        <v>71</v>
      </c>
      <c r="L123">
        <v>7</v>
      </c>
      <c r="M123">
        <v>490.51</v>
      </c>
      <c r="N123">
        <v>3433.5699999999997</v>
      </c>
      <c r="O123" t="s">
        <v>29</v>
      </c>
      <c r="P123" s="2" t="s">
        <v>30</v>
      </c>
      <c r="Q123" s="2" t="s">
        <v>24</v>
      </c>
    </row>
    <row r="124" spans="1:17" hidden="1" x14ac:dyDescent="0.3">
      <c r="A124">
        <v>202400276</v>
      </c>
      <c r="B124" s="1">
        <v>45396</v>
      </c>
      <c r="C124">
        <v>2024</v>
      </c>
      <c r="D124">
        <v>2</v>
      </c>
      <c r="E124">
        <v>4</v>
      </c>
      <c r="F124">
        <v>23</v>
      </c>
      <c r="G124" s="2" t="s">
        <v>86</v>
      </c>
      <c r="H124" s="2" t="s">
        <v>26</v>
      </c>
      <c r="I124" s="2" t="s">
        <v>33</v>
      </c>
      <c r="J124" s="2" t="s">
        <v>34</v>
      </c>
      <c r="K124" s="2" t="s">
        <v>35</v>
      </c>
      <c r="L124">
        <v>13</v>
      </c>
      <c r="M124">
        <v>253.02</v>
      </c>
      <c r="N124">
        <v>3289.26</v>
      </c>
      <c r="O124" t="s">
        <v>22</v>
      </c>
      <c r="P124" s="2" t="s">
        <v>23</v>
      </c>
      <c r="Q124" s="2" t="s">
        <v>24</v>
      </c>
    </row>
    <row r="125" spans="1:17" hidden="1" x14ac:dyDescent="0.3">
      <c r="A125">
        <v>202400614</v>
      </c>
      <c r="B125" s="1">
        <v>45616</v>
      </c>
      <c r="C125">
        <v>2024</v>
      </c>
      <c r="D125">
        <v>4</v>
      </c>
      <c r="E125">
        <v>11</v>
      </c>
      <c r="F125">
        <v>47</v>
      </c>
      <c r="G125" s="2" t="s">
        <v>120</v>
      </c>
      <c r="H125" s="2" t="s">
        <v>140</v>
      </c>
      <c r="I125" s="2" t="s">
        <v>38</v>
      </c>
      <c r="J125" s="2" t="s">
        <v>20</v>
      </c>
      <c r="K125" s="2" t="s">
        <v>39</v>
      </c>
      <c r="L125">
        <v>13</v>
      </c>
      <c r="M125">
        <v>1704.57</v>
      </c>
      <c r="N125">
        <v>22159.41</v>
      </c>
      <c r="O125" t="s">
        <v>22</v>
      </c>
      <c r="P125" s="2" t="s">
        <v>23</v>
      </c>
      <c r="Q125" s="2" t="s">
        <v>40</v>
      </c>
    </row>
    <row r="126" spans="1:17" x14ac:dyDescent="0.3">
      <c r="A126">
        <v>202400784</v>
      </c>
      <c r="B126" s="1">
        <v>45306</v>
      </c>
      <c r="C126">
        <v>2024</v>
      </c>
      <c r="D126">
        <v>1</v>
      </c>
      <c r="E126">
        <v>1</v>
      </c>
      <c r="F126">
        <v>20</v>
      </c>
      <c r="G126" s="2" t="s">
        <v>81</v>
      </c>
      <c r="H126" s="2" t="s">
        <v>69</v>
      </c>
      <c r="I126" s="2" t="s">
        <v>56</v>
      </c>
      <c r="J126" s="2" t="s">
        <v>57</v>
      </c>
      <c r="K126" s="2" t="s">
        <v>39</v>
      </c>
      <c r="L126">
        <v>12</v>
      </c>
      <c r="M126">
        <v>422.9</v>
      </c>
      <c r="N126">
        <v>5074.7999999999993</v>
      </c>
      <c r="O126" t="s">
        <v>22</v>
      </c>
      <c r="P126" s="2" t="s">
        <v>43</v>
      </c>
      <c r="Q126" s="2" t="s">
        <v>24</v>
      </c>
    </row>
    <row r="127" spans="1:17" hidden="1" x14ac:dyDescent="0.3">
      <c r="A127">
        <v>202400382</v>
      </c>
      <c r="B127" s="1">
        <v>45500</v>
      </c>
      <c r="C127">
        <v>2024</v>
      </c>
      <c r="D127">
        <v>3</v>
      </c>
      <c r="E127">
        <v>7</v>
      </c>
      <c r="F127">
        <v>20</v>
      </c>
      <c r="G127" s="2" t="s">
        <v>81</v>
      </c>
      <c r="H127" s="2" t="s">
        <v>69</v>
      </c>
      <c r="I127" s="2" t="s">
        <v>56</v>
      </c>
      <c r="J127" s="2" t="s">
        <v>57</v>
      </c>
      <c r="K127" s="2" t="s">
        <v>35</v>
      </c>
      <c r="L127">
        <v>3</v>
      </c>
      <c r="M127">
        <v>1760.47</v>
      </c>
      <c r="N127">
        <v>5281.41</v>
      </c>
      <c r="O127" t="s">
        <v>29</v>
      </c>
      <c r="P127" s="2" t="s">
        <v>43</v>
      </c>
      <c r="Q127" s="2" t="s">
        <v>40</v>
      </c>
    </row>
    <row r="128" spans="1:17" x14ac:dyDescent="0.3">
      <c r="A128">
        <v>202400693</v>
      </c>
      <c r="B128" s="1">
        <v>45345</v>
      </c>
      <c r="C128">
        <v>2024</v>
      </c>
      <c r="D128">
        <v>1</v>
      </c>
      <c r="E128">
        <v>2</v>
      </c>
      <c r="F128">
        <v>16</v>
      </c>
      <c r="G128" s="2" t="s">
        <v>91</v>
      </c>
      <c r="H128" s="2" t="s">
        <v>18</v>
      </c>
      <c r="I128" s="2" t="s">
        <v>65</v>
      </c>
      <c r="J128" s="2" t="s">
        <v>34</v>
      </c>
      <c r="K128" s="2" t="s">
        <v>39</v>
      </c>
      <c r="L128">
        <v>1</v>
      </c>
      <c r="M128">
        <v>462.47</v>
      </c>
      <c r="N128">
        <v>462.47</v>
      </c>
      <c r="O128" t="s">
        <v>36</v>
      </c>
      <c r="P128" s="2" t="s">
        <v>48</v>
      </c>
      <c r="Q128" s="2" t="s">
        <v>24</v>
      </c>
    </row>
    <row r="129" spans="1:17" hidden="1" x14ac:dyDescent="0.3">
      <c r="A129">
        <v>202400989</v>
      </c>
      <c r="B129" s="1">
        <v>45523</v>
      </c>
      <c r="C129">
        <v>2024</v>
      </c>
      <c r="D129">
        <v>3</v>
      </c>
      <c r="E129">
        <v>8</v>
      </c>
      <c r="F129">
        <v>5</v>
      </c>
      <c r="G129" s="2" t="s">
        <v>121</v>
      </c>
      <c r="H129" s="2" t="s">
        <v>62</v>
      </c>
      <c r="I129" s="2" t="s">
        <v>27</v>
      </c>
      <c r="J129" s="2" t="s">
        <v>20</v>
      </c>
      <c r="K129" s="2" t="s">
        <v>47</v>
      </c>
      <c r="L129">
        <v>11</v>
      </c>
      <c r="M129">
        <v>1493.52</v>
      </c>
      <c r="N129">
        <v>16428.72</v>
      </c>
      <c r="O129" t="s">
        <v>22</v>
      </c>
      <c r="P129" s="2" t="s">
        <v>43</v>
      </c>
      <c r="Q129" s="2" t="s">
        <v>24</v>
      </c>
    </row>
    <row r="130" spans="1:17" hidden="1" x14ac:dyDescent="0.3">
      <c r="A130">
        <v>202400790</v>
      </c>
      <c r="B130" s="1">
        <v>45436</v>
      </c>
      <c r="C130">
        <v>2024</v>
      </c>
      <c r="D130">
        <v>2</v>
      </c>
      <c r="E130">
        <v>5</v>
      </c>
      <c r="F130">
        <v>25</v>
      </c>
      <c r="G130" s="2" t="s">
        <v>117</v>
      </c>
      <c r="H130" s="2" t="s">
        <v>26</v>
      </c>
      <c r="I130" s="2" t="s">
        <v>27</v>
      </c>
      <c r="J130" s="2" t="s">
        <v>20</v>
      </c>
      <c r="K130" s="2" t="s">
        <v>35</v>
      </c>
      <c r="L130">
        <v>13</v>
      </c>
      <c r="M130">
        <v>385.4</v>
      </c>
      <c r="N130">
        <v>5010.2</v>
      </c>
      <c r="O130" t="s">
        <v>22</v>
      </c>
      <c r="P130" s="2" t="s">
        <v>43</v>
      </c>
      <c r="Q130" s="2" t="s">
        <v>45</v>
      </c>
    </row>
    <row r="131" spans="1:17" hidden="1" x14ac:dyDescent="0.3">
      <c r="A131">
        <v>202400200</v>
      </c>
      <c r="B131" s="1">
        <v>45486</v>
      </c>
      <c r="C131">
        <v>2024</v>
      </c>
      <c r="D131">
        <v>3</v>
      </c>
      <c r="E131">
        <v>7</v>
      </c>
      <c r="F131">
        <v>12</v>
      </c>
      <c r="G131" s="2" t="s">
        <v>119</v>
      </c>
      <c r="H131" s="2" t="s">
        <v>26</v>
      </c>
      <c r="I131" s="2" t="s">
        <v>67</v>
      </c>
      <c r="J131" s="2" t="s">
        <v>20</v>
      </c>
      <c r="K131" s="2" t="s">
        <v>59</v>
      </c>
      <c r="L131">
        <v>8</v>
      </c>
      <c r="M131">
        <v>1930.25</v>
      </c>
      <c r="N131">
        <v>15442</v>
      </c>
      <c r="O131" t="s">
        <v>29</v>
      </c>
      <c r="P131" s="2" t="s">
        <v>23</v>
      </c>
      <c r="Q131" s="2" t="s">
        <v>45</v>
      </c>
    </row>
    <row r="132" spans="1:17" x14ac:dyDescent="0.3">
      <c r="A132">
        <v>202400491</v>
      </c>
      <c r="B132" s="1">
        <v>45361</v>
      </c>
      <c r="C132">
        <v>2024</v>
      </c>
      <c r="D132">
        <v>1</v>
      </c>
      <c r="E132">
        <v>3</v>
      </c>
      <c r="F132">
        <v>19</v>
      </c>
      <c r="G132" s="2" t="s">
        <v>122</v>
      </c>
      <c r="H132" s="2" t="s">
        <v>26</v>
      </c>
      <c r="I132" s="2" t="s">
        <v>38</v>
      </c>
      <c r="J132" s="2" t="s">
        <v>20</v>
      </c>
      <c r="K132" s="2" t="s">
        <v>60</v>
      </c>
      <c r="L132">
        <v>5</v>
      </c>
      <c r="M132">
        <v>402.46</v>
      </c>
      <c r="N132">
        <v>2012.3</v>
      </c>
      <c r="O132" t="s">
        <v>29</v>
      </c>
      <c r="P132" s="2" t="s">
        <v>30</v>
      </c>
      <c r="Q132" s="2" t="s">
        <v>40</v>
      </c>
    </row>
    <row r="133" spans="1:17" hidden="1" x14ac:dyDescent="0.3">
      <c r="A133">
        <v>202400550</v>
      </c>
      <c r="B133" s="1">
        <v>45631</v>
      </c>
      <c r="C133">
        <v>2024</v>
      </c>
      <c r="D133">
        <v>4</v>
      </c>
      <c r="E133">
        <v>12</v>
      </c>
      <c r="F133">
        <v>76</v>
      </c>
      <c r="G133" s="2" t="s">
        <v>104</v>
      </c>
      <c r="H133" s="2" t="s">
        <v>140</v>
      </c>
      <c r="I133" s="2" t="s">
        <v>33</v>
      </c>
      <c r="J133" s="2" t="s">
        <v>34</v>
      </c>
      <c r="K133" s="2" t="s">
        <v>21</v>
      </c>
      <c r="L133">
        <v>13</v>
      </c>
      <c r="M133">
        <v>1497.65</v>
      </c>
      <c r="N133">
        <v>19469.45</v>
      </c>
      <c r="O133" t="s">
        <v>22</v>
      </c>
      <c r="P133" s="2" t="s">
        <v>43</v>
      </c>
      <c r="Q133" s="2" t="s">
        <v>24</v>
      </c>
    </row>
    <row r="134" spans="1:17" hidden="1" x14ac:dyDescent="0.3">
      <c r="A134">
        <v>202400463</v>
      </c>
      <c r="B134" s="1">
        <v>45498</v>
      </c>
      <c r="C134">
        <v>2024</v>
      </c>
      <c r="D134">
        <v>3</v>
      </c>
      <c r="E134">
        <v>7</v>
      </c>
      <c r="F134">
        <v>16</v>
      </c>
      <c r="G134" s="2" t="s">
        <v>91</v>
      </c>
      <c r="H134" s="2" t="s">
        <v>18</v>
      </c>
      <c r="I134" s="2" t="s">
        <v>65</v>
      </c>
      <c r="J134" s="2" t="s">
        <v>34</v>
      </c>
      <c r="K134" s="2" t="s">
        <v>50</v>
      </c>
      <c r="L134">
        <v>5</v>
      </c>
      <c r="M134">
        <v>1159.6500000000001</v>
      </c>
      <c r="N134">
        <v>5798.25</v>
      </c>
      <c r="O134" t="s">
        <v>29</v>
      </c>
      <c r="P134" s="2" t="s">
        <v>48</v>
      </c>
      <c r="Q134" s="2" t="s">
        <v>24</v>
      </c>
    </row>
    <row r="135" spans="1:17" hidden="1" x14ac:dyDescent="0.3">
      <c r="A135">
        <v>202400731</v>
      </c>
      <c r="B135" s="1">
        <v>45389</v>
      </c>
      <c r="C135">
        <v>2024</v>
      </c>
      <c r="D135">
        <v>2</v>
      </c>
      <c r="E135">
        <v>4</v>
      </c>
      <c r="F135">
        <v>2</v>
      </c>
      <c r="G135" s="2" t="s">
        <v>32</v>
      </c>
      <c r="H135" s="2" t="s">
        <v>140</v>
      </c>
      <c r="I135" s="2" t="s">
        <v>33</v>
      </c>
      <c r="J135" s="2" t="s">
        <v>34</v>
      </c>
      <c r="K135" s="2" t="s">
        <v>50</v>
      </c>
      <c r="L135">
        <v>1</v>
      </c>
      <c r="M135">
        <v>1116.6099999999999</v>
      </c>
      <c r="N135">
        <v>1116.6099999999999</v>
      </c>
      <c r="O135" t="s">
        <v>36</v>
      </c>
      <c r="P135" s="2" t="s">
        <v>30</v>
      </c>
      <c r="Q135" s="2" t="s">
        <v>24</v>
      </c>
    </row>
    <row r="136" spans="1:17" hidden="1" x14ac:dyDescent="0.3">
      <c r="A136">
        <v>202401156</v>
      </c>
      <c r="B136" s="1">
        <v>45471</v>
      </c>
      <c r="C136">
        <v>2024</v>
      </c>
      <c r="D136">
        <v>2</v>
      </c>
      <c r="E136">
        <v>6</v>
      </c>
      <c r="F136">
        <v>7</v>
      </c>
      <c r="G136" s="2" t="s">
        <v>25</v>
      </c>
      <c r="H136" s="2" t="s">
        <v>26</v>
      </c>
      <c r="I136" s="2" t="s">
        <v>27</v>
      </c>
      <c r="J136" s="2" t="s">
        <v>20</v>
      </c>
      <c r="K136" s="2" t="s">
        <v>35</v>
      </c>
      <c r="L136">
        <v>5</v>
      </c>
      <c r="M136">
        <v>1396.12</v>
      </c>
      <c r="N136">
        <v>6980.5999999999995</v>
      </c>
      <c r="O136" t="s">
        <v>29</v>
      </c>
      <c r="P136" s="2" t="s">
        <v>48</v>
      </c>
      <c r="Q136" s="2" t="s">
        <v>24</v>
      </c>
    </row>
    <row r="137" spans="1:17" hidden="1" x14ac:dyDescent="0.3">
      <c r="A137">
        <v>202400980</v>
      </c>
      <c r="B137" s="1">
        <v>45466</v>
      </c>
      <c r="C137">
        <v>2024</v>
      </c>
      <c r="D137">
        <v>2</v>
      </c>
      <c r="E137">
        <v>6</v>
      </c>
      <c r="F137">
        <v>55</v>
      </c>
      <c r="G137" s="2" t="s">
        <v>87</v>
      </c>
      <c r="H137" s="2" t="s">
        <v>69</v>
      </c>
      <c r="I137" s="2" t="s">
        <v>85</v>
      </c>
      <c r="J137" s="2" t="s">
        <v>57</v>
      </c>
      <c r="K137" s="2" t="s">
        <v>70</v>
      </c>
      <c r="L137">
        <v>13</v>
      </c>
      <c r="M137">
        <v>1556.77</v>
      </c>
      <c r="N137">
        <v>20238.009999999998</v>
      </c>
      <c r="O137" t="s">
        <v>22</v>
      </c>
      <c r="P137" s="2" t="s">
        <v>43</v>
      </c>
      <c r="Q137" s="2" t="s">
        <v>40</v>
      </c>
    </row>
    <row r="138" spans="1:17" hidden="1" x14ac:dyDescent="0.3">
      <c r="A138">
        <v>202400935</v>
      </c>
      <c r="B138" s="1">
        <v>45628</v>
      </c>
      <c r="C138">
        <v>2024</v>
      </c>
      <c r="D138">
        <v>4</v>
      </c>
      <c r="E138">
        <v>12</v>
      </c>
      <c r="F138">
        <v>71</v>
      </c>
      <c r="G138" s="2" t="s">
        <v>80</v>
      </c>
      <c r="H138" s="2" t="s">
        <v>18</v>
      </c>
      <c r="I138" s="2" t="s">
        <v>65</v>
      </c>
      <c r="J138" s="2" t="s">
        <v>34</v>
      </c>
      <c r="K138" s="2" t="s">
        <v>60</v>
      </c>
      <c r="L138">
        <v>5</v>
      </c>
      <c r="M138">
        <v>1553.9</v>
      </c>
      <c r="N138">
        <v>7769.5</v>
      </c>
      <c r="O138" t="s">
        <v>29</v>
      </c>
      <c r="P138" s="2" t="s">
        <v>23</v>
      </c>
      <c r="Q138" s="2" t="s">
        <v>24</v>
      </c>
    </row>
    <row r="139" spans="1:17" hidden="1" x14ac:dyDescent="0.3">
      <c r="A139">
        <v>202400462</v>
      </c>
      <c r="B139" s="1">
        <v>45599</v>
      </c>
      <c r="C139">
        <v>2024</v>
      </c>
      <c r="D139">
        <v>4</v>
      </c>
      <c r="E139">
        <v>11</v>
      </c>
      <c r="F139">
        <v>43</v>
      </c>
      <c r="G139" s="2" t="s">
        <v>100</v>
      </c>
      <c r="H139" s="2" t="s">
        <v>69</v>
      </c>
      <c r="I139" s="2" t="s">
        <v>54</v>
      </c>
      <c r="J139" s="2" t="s">
        <v>20</v>
      </c>
      <c r="K139" s="2" t="s">
        <v>50</v>
      </c>
      <c r="L139">
        <v>2</v>
      </c>
      <c r="M139">
        <v>1685.62</v>
      </c>
      <c r="N139">
        <v>3371.24</v>
      </c>
      <c r="O139" t="s">
        <v>36</v>
      </c>
      <c r="P139" s="2" t="s">
        <v>43</v>
      </c>
      <c r="Q139" s="2" t="s">
        <v>24</v>
      </c>
    </row>
    <row r="140" spans="1:17" hidden="1" x14ac:dyDescent="0.3">
      <c r="A140">
        <v>202400546</v>
      </c>
      <c r="B140" s="1">
        <v>45638</v>
      </c>
      <c r="C140">
        <v>2024</v>
      </c>
      <c r="D140">
        <v>4</v>
      </c>
      <c r="E140">
        <v>12</v>
      </c>
      <c r="F140">
        <v>36</v>
      </c>
      <c r="G140" s="2" t="s">
        <v>123</v>
      </c>
      <c r="H140" s="2" t="s">
        <v>62</v>
      </c>
      <c r="I140" s="2" t="s">
        <v>54</v>
      </c>
      <c r="J140" s="2" t="s">
        <v>20</v>
      </c>
      <c r="K140" s="2" t="s">
        <v>28</v>
      </c>
      <c r="L140">
        <v>10</v>
      </c>
      <c r="M140">
        <v>598.75</v>
      </c>
      <c r="N140">
        <v>5987.5</v>
      </c>
      <c r="O140" t="s">
        <v>22</v>
      </c>
      <c r="P140" s="2" t="s">
        <v>30</v>
      </c>
      <c r="Q140" s="2" t="s">
        <v>24</v>
      </c>
    </row>
    <row r="141" spans="1:17" hidden="1" x14ac:dyDescent="0.3">
      <c r="A141">
        <v>202400297</v>
      </c>
      <c r="B141" s="1">
        <v>45641</v>
      </c>
      <c r="C141">
        <v>2024</v>
      </c>
      <c r="D141">
        <v>4</v>
      </c>
      <c r="E141">
        <v>12</v>
      </c>
      <c r="F141">
        <v>55</v>
      </c>
      <c r="G141" s="2" t="s">
        <v>87</v>
      </c>
      <c r="H141" s="2" t="s">
        <v>69</v>
      </c>
      <c r="I141" s="2" t="s">
        <v>85</v>
      </c>
      <c r="J141" s="2" t="s">
        <v>57</v>
      </c>
      <c r="K141" s="2" t="s">
        <v>59</v>
      </c>
      <c r="L141">
        <v>4</v>
      </c>
      <c r="M141">
        <v>345.92</v>
      </c>
      <c r="N141">
        <v>1383.68</v>
      </c>
      <c r="O141" t="s">
        <v>29</v>
      </c>
      <c r="P141" s="2" t="s">
        <v>43</v>
      </c>
      <c r="Q141" s="2" t="s">
        <v>40</v>
      </c>
    </row>
    <row r="142" spans="1:17" hidden="1" x14ac:dyDescent="0.3">
      <c r="A142">
        <v>202400712</v>
      </c>
      <c r="B142" s="1">
        <v>45641</v>
      </c>
      <c r="C142">
        <v>2024</v>
      </c>
      <c r="D142">
        <v>4</v>
      </c>
      <c r="E142">
        <v>12</v>
      </c>
      <c r="F142">
        <v>29</v>
      </c>
      <c r="G142" s="2" t="s">
        <v>61</v>
      </c>
      <c r="H142" s="2" t="s">
        <v>62</v>
      </c>
      <c r="I142" s="2" t="s">
        <v>19</v>
      </c>
      <c r="J142" s="2" t="s">
        <v>20</v>
      </c>
      <c r="K142" s="2" t="s">
        <v>97</v>
      </c>
      <c r="L142">
        <v>8</v>
      </c>
      <c r="M142">
        <v>526.92999999999995</v>
      </c>
      <c r="N142">
        <v>4215.4399999999996</v>
      </c>
      <c r="O142" t="s">
        <v>29</v>
      </c>
      <c r="P142" s="2" t="s">
        <v>23</v>
      </c>
      <c r="Q142" s="2" t="s">
        <v>24</v>
      </c>
    </row>
    <row r="143" spans="1:17" hidden="1" x14ac:dyDescent="0.3">
      <c r="A143">
        <v>202400433</v>
      </c>
      <c r="B143" s="1">
        <v>45388</v>
      </c>
      <c r="C143">
        <v>2024</v>
      </c>
      <c r="D143">
        <v>2</v>
      </c>
      <c r="E143">
        <v>4</v>
      </c>
      <c r="F143">
        <v>76</v>
      </c>
      <c r="G143" s="2" t="s">
        <v>104</v>
      </c>
      <c r="H143" s="2" t="s">
        <v>140</v>
      </c>
      <c r="I143" s="2" t="s">
        <v>33</v>
      </c>
      <c r="J143" s="2" t="s">
        <v>34</v>
      </c>
      <c r="K143" s="2" t="s">
        <v>52</v>
      </c>
      <c r="L143">
        <v>7</v>
      </c>
      <c r="M143">
        <v>1227.03</v>
      </c>
      <c r="N143">
        <v>8589.2099999999991</v>
      </c>
      <c r="O143" t="s">
        <v>29</v>
      </c>
      <c r="P143" s="2" t="s">
        <v>30</v>
      </c>
      <c r="Q143" s="2" t="s">
        <v>41</v>
      </c>
    </row>
    <row r="144" spans="1:17" hidden="1" x14ac:dyDescent="0.3">
      <c r="A144">
        <v>202400260</v>
      </c>
      <c r="B144" s="1">
        <v>45442</v>
      </c>
      <c r="C144">
        <v>2024</v>
      </c>
      <c r="D144">
        <v>2</v>
      </c>
      <c r="E144">
        <v>5</v>
      </c>
      <c r="F144">
        <v>50</v>
      </c>
      <c r="G144" s="2" t="s">
        <v>37</v>
      </c>
      <c r="H144" s="2" t="s">
        <v>62</v>
      </c>
      <c r="I144" s="2" t="s">
        <v>38</v>
      </c>
      <c r="J144" s="2" t="s">
        <v>20</v>
      </c>
      <c r="K144" s="2" t="s">
        <v>39</v>
      </c>
      <c r="L144">
        <v>4</v>
      </c>
      <c r="M144">
        <v>1566.68</v>
      </c>
      <c r="N144">
        <v>6266.72</v>
      </c>
      <c r="O144" t="s">
        <v>29</v>
      </c>
      <c r="P144" s="2" t="s">
        <v>30</v>
      </c>
      <c r="Q144" s="2" t="s">
        <v>41</v>
      </c>
    </row>
    <row r="145" spans="1:17" hidden="1" x14ac:dyDescent="0.3">
      <c r="A145">
        <v>202400434</v>
      </c>
      <c r="B145" s="1">
        <v>45646</v>
      </c>
      <c r="C145">
        <v>2024</v>
      </c>
      <c r="D145">
        <v>4</v>
      </c>
      <c r="E145">
        <v>12</v>
      </c>
      <c r="F145">
        <v>39</v>
      </c>
      <c r="G145" s="2" t="s">
        <v>98</v>
      </c>
      <c r="H145" s="2" t="s">
        <v>18</v>
      </c>
      <c r="I145" s="2" t="s">
        <v>19</v>
      </c>
      <c r="J145" s="2" t="s">
        <v>20</v>
      </c>
      <c r="K145" s="2" t="s">
        <v>51</v>
      </c>
      <c r="L145">
        <v>7</v>
      </c>
      <c r="M145">
        <v>938.5</v>
      </c>
      <c r="N145">
        <v>6569.5</v>
      </c>
      <c r="O145" t="s">
        <v>29</v>
      </c>
      <c r="P145" s="2" t="s">
        <v>43</v>
      </c>
      <c r="Q145" s="2" t="s">
        <v>49</v>
      </c>
    </row>
    <row r="146" spans="1:17" hidden="1" x14ac:dyDescent="0.3">
      <c r="A146">
        <v>202400332</v>
      </c>
      <c r="B146" s="1">
        <v>45407</v>
      </c>
      <c r="C146">
        <v>2024</v>
      </c>
      <c r="D146">
        <v>2</v>
      </c>
      <c r="E146">
        <v>4</v>
      </c>
      <c r="F146">
        <v>14</v>
      </c>
      <c r="G146" s="2" t="s">
        <v>106</v>
      </c>
      <c r="H146" s="2" t="s">
        <v>26</v>
      </c>
      <c r="I146" s="2" t="s">
        <v>54</v>
      </c>
      <c r="J146" s="2" t="s">
        <v>20</v>
      </c>
      <c r="K146" s="2" t="s">
        <v>50</v>
      </c>
      <c r="L146">
        <v>1</v>
      </c>
      <c r="M146">
        <v>709.38</v>
      </c>
      <c r="N146">
        <v>709.38</v>
      </c>
      <c r="O146" t="s">
        <v>36</v>
      </c>
      <c r="P146" s="2" t="s">
        <v>43</v>
      </c>
      <c r="Q146" s="2" t="s">
        <v>41</v>
      </c>
    </row>
    <row r="147" spans="1:17" hidden="1" x14ac:dyDescent="0.3">
      <c r="A147">
        <v>202400495</v>
      </c>
      <c r="B147" s="1">
        <v>45578</v>
      </c>
      <c r="C147">
        <v>2024</v>
      </c>
      <c r="D147">
        <v>4</v>
      </c>
      <c r="E147">
        <v>10</v>
      </c>
      <c r="F147">
        <v>22</v>
      </c>
      <c r="G147" s="2" t="s">
        <v>79</v>
      </c>
      <c r="H147" s="2" t="s">
        <v>18</v>
      </c>
      <c r="I147" s="2" t="s">
        <v>65</v>
      </c>
      <c r="J147" s="2" t="s">
        <v>34</v>
      </c>
      <c r="K147" s="2" t="s">
        <v>50</v>
      </c>
      <c r="L147">
        <v>8</v>
      </c>
      <c r="M147">
        <v>1331.61</v>
      </c>
      <c r="N147">
        <v>10652.88</v>
      </c>
      <c r="O147" t="s">
        <v>29</v>
      </c>
      <c r="P147" s="2" t="s">
        <v>48</v>
      </c>
      <c r="Q147" s="2" t="s">
        <v>24</v>
      </c>
    </row>
    <row r="148" spans="1:17" x14ac:dyDescent="0.3">
      <c r="A148">
        <v>202400169</v>
      </c>
      <c r="B148" s="1">
        <v>45335</v>
      </c>
      <c r="C148">
        <v>2024</v>
      </c>
      <c r="D148">
        <v>1</v>
      </c>
      <c r="E148">
        <v>2</v>
      </c>
      <c r="F148">
        <v>67</v>
      </c>
      <c r="G148" s="2" t="s">
        <v>124</v>
      </c>
      <c r="H148" s="2" t="s">
        <v>69</v>
      </c>
      <c r="I148" s="2" t="s">
        <v>54</v>
      </c>
      <c r="J148" s="2" t="s">
        <v>20</v>
      </c>
      <c r="K148" s="2" t="s">
        <v>21</v>
      </c>
      <c r="L148">
        <v>2</v>
      </c>
      <c r="M148">
        <v>770.32</v>
      </c>
      <c r="N148">
        <v>1540.64</v>
      </c>
      <c r="O148" t="s">
        <v>36</v>
      </c>
      <c r="P148" s="2" t="s">
        <v>48</v>
      </c>
      <c r="Q148" s="2" t="s">
        <v>24</v>
      </c>
    </row>
    <row r="149" spans="1:17" hidden="1" x14ac:dyDescent="0.3">
      <c r="A149">
        <v>202400136</v>
      </c>
      <c r="B149" s="1">
        <v>45494</v>
      </c>
      <c r="C149">
        <v>2024</v>
      </c>
      <c r="D149">
        <v>3</v>
      </c>
      <c r="E149">
        <v>7</v>
      </c>
      <c r="F149">
        <v>66</v>
      </c>
      <c r="G149" s="2" t="s">
        <v>107</v>
      </c>
      <c r="H149" s="2" t="s">
        <v>69</v>
      </c>
      <c r="I149" s="2" t="s">
        <v>78</v>
      </c>
      <c r="J149" s="2" t="s">
        <v>75</v>
      </c>
      <c r="K149" s="2" t="s">
        <v>51</v>
      </c>
      <c r="L149">
        <v>5</v>
      </c>
      <c r="M149">
        <v>1136.3900000000001</v>
      </c>
      <c r="N149">
        <v>5681.9500000000007</v>
      </c>
      <c r="O149" t="s">
        <v>29</v>
      </c>
      <c r="P149" s="2" t="s">
        <v>43</v>
      </c>
      <c r="Q149" s="2" t="s">
        <v>24</v>
      </c>
    </row>
    <row r="150" spans="1:17" hidden="1" x14ac:dyDescent="0.3">
      <c r="A150">
        <v>202400535</v>
      </c>
      <c r="B150" s="1">
        <v>45421</v>
      </c>
      <c r="C150">
        <v>2024</v>
      </c>
      <c r="D150">
        <v>2</v>
      </c>
      <c r="E150">
        <v>5</v>
      </c>
      <c r="F150">
        <v>40</v>
      </c>
      <c r="G150" s="2" t="s">
        <v>125</v>
      </c>
      <c r="H150" s="2" t="s">
        <v>69</v>
      </c>
      <c r="I150" s="2" t="s">
        <v>126</v>
      </c>
      <c r="J150" s="2" t="s">
        <v>20</v>
      </c>
      <c r="K150" s="2" t="s">
        <v>59</v>
      </c>
      <c r="L150">
        <v>4</v>
      </c>
      <c r="M150">
        <v>663.59</v>
      </c>
      <c r="N150">
        <v>2654.36</v>
      </c>
      <c r="O150" t="s">
        <v>29</v>
      </c>
      <c r="P150" s="2" t="s">
        <v>23</v>
      </c>
      <c r="Q150" s="2" t="s">
        <v>40</v>
      </c>
    </row>
    <row r="151" spans="1:17" x14ac:dyDescent="0.3">
      <c r="A151">
        <v>202400429</v>
      </c>
      <c r="B151" s="1">
        <v>45295</v>
      </c>
      <c r="C151">
        <v>2024</v>
      </c>
      <c r="D151">
        <v>1</v>
      </c>
      <c r="E151">
        <v>1</v>
      </c>
      <c r="F151">
        <v>72</v>
      </c>
      <c r="G151" s="2" t="s">
        <v>100</v>
      </c>
      <c r="H151" s="2" t="s">
        <v>140</v>
      </c>
      <c r="I151" s="2" t="s">
        <v>33</v>
      </c>
      <c r="J151" s="2" t="s">
        <v>34</v>
      </c>
      <c r="K151" s="2" t="s">
        <v>42</v>
      </c>
      <c r="L151">
        <v>10</v>
      </c>
      <c r="M151">
        <v>979.48</v>
      </c>
      <c r="N151">
        <v>9794.7999999999993</v>
      </c>
      <c r="O151" t="s">
        <v>22</v>
      </c>
      <c r="P151" s="2" t="s">
        <v>43</v>
      </c>
      <c r="Q151" s="2" t="s">
        <v>24</v>
      </c>
    </row>
    <row r="152" spans="1:17" hidden="1" x14ac:dyDescent="0.3">
      <c r="A152">
        <v>202400329</v>
      </c>
      <c r="B152" s="1">
        <v>45423</v>
      </c>
      <c r="C152">
        <v>2024</v>
      </c>
      <c r="D152">
        <v>2</v>
      </c>
      <c r="E152">
        <v>5</v>
      </c>
      <c r="F152">
        <v>49</v>
      </c>
      <c r="G152" s="2" t="s">
        <v>83</v>
      </c>
      <c r="H152" s="2" t="s">
        <v>69</v>
      </c>
      <c r="I152" s="2" t="s">
        <v>56</v>
      </c>
      <c r="J152" s="2" t="s">
        <v>57</v>
      </c>
      <c r="K152" s="2" t="s">
        <v>71</v>
      </c>
      <c r="L152">
        <v>11</v>
      </c>
      <c r="M152">
        <v>133.15</v>
      </c>
      <c r="N152">
        <v>1464.65</v>
      </c>
      <c r="O152" t="s">
        <v>22</v>
      </c>
      <c r="P152" s="2" t="s">
        <v>30</v>
      </c>
      <c r="Q152" s="2" t="s">
        <v>24</v>
      </c>
    </row>
    <row r="153" spans="1:17" hidden="1" x14ac:dyDescent="0.3">
      <c r="A153">
        <v>202400159</v>
      </c>
      <c r="B153" s="1">
        <v>45444</v>
      </c>
      <c r="C153">
        <v>2024</v>
      </c>
      <c r="D153">
        <v>2</v>
      </c>
      <c r="E153">
        <v>6</v>
      </c>
      <c r="F153">
        <v>37</v>
      </c>
      <c r="G153" s="2" t="s">
        <v>96</v>
      </c>
      <c r="H153" s="2" t="s">
        <v>62</v>
      </c>
      <c r="I153" s="2" t="s">
        <v>56</v>
      </c>
      <c r="J153" s="2" t="s">
        <v>57</v>
      </c>
      <c r="K153" s="2" t="s">
        <v>52</v>
      </c>
      <c r="L153">
        <v>1</v>
      </c>
      <c r="M153">
        <v>1402.41</v>
      </c>
      <c r="N153">
        <v>1402.41</v>
      </c>
      <c r="O153" t="s">
        <v>36</v>
      </c>
      <c r="P153" s="2" t="s">
        <v>43</v>
      </c>
      <c r="Q153" s="2" t="s">
        <v>41</v>
      </c>
    </row>
    <row r="154" spans="1:17" hidden="1" x14ac:dyDescent="0.3">
      <c r="A154">
        <v>202400141</v>
      </c>
      <c r="B154" s="1">
        <v>45432</v>
      </c>
      <c r="C154">
        <v>2024</v>
      </c>
      <c r="D154">
        <v>2</v>
      </c>
      <c r="E154">
        <v>5</v>
      </c>
      <c r="F154">
        <v>28</v>
      </c>
      <c r="G154" s="2" t="s">
        <v>114</v>
      </c>
      <c r="H154" s="2" t="s">
        <v>62</v>
      </c>
      <c r="I154" s="2" t="s">
        <v>33</v>
      </c>
      <c r="J154" s="2" t="s">
        <v>34</v>
      </c>
      <c r="K154" s="2" t="s">
        <v>35</v>
      </c>
      <c r="L154">
        <v>14</v>
      </c>
      <c r="M154">
        <v>1718.65</v>
      </c>
      <c r="N154">
        <v>24061.100000000002</v>
      </c>
      <c r="O154" t="s">
        <v>22</v>
      </c>
      <c r="P154" s="2" t="s">
        <v>23</v>
      </c>
      <c r="Q154" s="2" t="s">
        <v>41</v>
      </c>
    </row>
    <row r="155" spans="1:17" hidden="1" x14ac:dyDescent="0.3">
      <c r="A155">
        <v>202400869</v>
      </c>
      <c r="B155" s="1">
        <v>45477</v>
      </c>
      <c r="C155">
        <v>2024</v>
      </c>
      <c r="D155">
        <v>3</v>
      </c>
      <c r="E155">
        <v>7</v>
      </c>
      <c r="F155">
        <v>61</v>
      </c>
      <c r="G155" s="2" t="s">
        <v>90</v>
      </c>
      <c r="H155" s="2" t="s">
        <v>69</v>
      </c>
      <c r="I155" s="2" t="s">
        <v>65</v>
      </c>
      <c r="J155" s="2" t="s">
        <v>34</v>
      </c>
      <c r="K155" s="2" t="s">
        <v>50</v>
      </c>
      <c r="L155">
        <v>6</v>
      </c>
      <c r="M155">
        <v>596.49</v>
      </c>
      <c r="N155">
        <v>3578.94</v>
      </c>
      <c r="O155" t="s">
        <v>29</v>
      </c>
      <c r="P155" s="2" t="s">
        <v>43</v>
      </c>
      <c r="Q155" s="2" t="s">
        <v>40</v>
      </c>
    </row>
    <row r="156" spans="1:17" x14ac:dyDescent="0.3">
      <c r="A156">
        <v>202400315</v>
      </c>
      <c r="B156" s="1">
        <v>45335</v>
      </c>
      <c r="C156">
        <v>2024</v>
      </c>
      <c r="D156">
        <v>1</v>
      </c>
      <c r="E156">
        <v>2</v>
      </c>
      <c r="F156">
        <v>67</v>
      </c>
      <c r="G156" s="2" t="s">
        <v>124</v>
      </c>
      <c r="H156" s="2" t="s">
        <v>69</v>
      </c>
      <c r="I156" s="2" t="s">
        <v>54</v>
      </c>
      <c r="J156" s="2" t="s">
        <v>20</v>
      </c>
      <c r="K156" s="2" t="s">
        <v>50</v>
      </c>
      <c r="L156">
        <v>10</v>
      </c>
      <c r="M156">
        <v>545.49</v>
      </c>
      <c r="N156">
        <v>5454.9</v>
      </c>
      <c r="O156" t="s">
        <v>22</v>
      </c>
      <c r="P156" s="2" t="s">
        <v>43</v>
      </c>
      <c r="Q156" s="2" t="s">
        <v>24</v>
      </c>
    </row>
    <row r="157" spans="1:17" hidden="1" x14ac:dyDescent="0.3">
      <c r="A157">
        <v>202400175</v>
      </c>
      <c r="B157" s="1">
        <v>45628</v>
      </c>
      <c r="C157">
        <v>2024</v>
      </c>
      <c r="D157">
        <v>4</v>
      </c>
      <c r="E157">
        <v>12</v>
      </c>
      <c r="F157">
        <v>31</v>
      </c>
      <c r="G157" s="2" t="s">
        <v>127</v>
      </c>
      <c r="H157" s="2" t="s">
        <v>69</v>
      </c>
      <c r="I157" s="2" t="s">
        <v>54</v>
      </c>
      <c r="J157" s="2" t="s">
        <v>20</v>
      </c>
      <c r="K157" s="2" t="s">
        <v>60</v>
      </c>
      <c r="L157">
        <v>4</v>
      </c>
      <c r="M157">
        <v>589.23</v>
      </c>
      <c r="N157">
        <v>2356.92</v>
      </c>
      <c r="O157" t="s">
        <v>29</v>
      </c>
      <c r="P157" s="2" t="s">
        <v>43</v>
      </c>
      <c r="Q157" s="2" t="s">
        <v>24</v>
      </c>
    </row>
    <row r="158" spans="1:17" hidden="1" x14ac:dyDescent="0.3">
      <c r="A158">
        <v>202401103</v>
      </c>
      <c r="B158" s="1">
        <v>45407</v>
      </c>
      <c r="C158">
        <v>2024</v>
      </c>
      <c r="D158">
        <v>2</v>
      </c>
      <c r="E158">
        <v>4</v>
      </c>
      <c r="F158">
        <v>54</v>
      </c>
      <c r="G158" s="2" t="s">
        <v>68</v>
      </c>
      <c r="H158" s="2" t="s">
        <v>69</v>
      </c>
      <c r="I158" s="2" t="s">
        <v>19</v>
      </c>
      <c r="J158" s="2" t="s">
        <v>20</v>
      </c>
      <c r="K158" s="2" t="s">
        <v>39</v>
      </c>
      <c r="L158">
        <v>7</v>
      </c>
      <c r="M158">
        <v>635.48</v>
      </c>
      <c r="N158">
        <v>4448.3600000000006</v>
      </c>
      <c r="O158" t="s">
        <v>29</v>
      </c>
      <c r="P158" s="2" t="s">
        <v>30</v>
      </c>
      <c r="Q158" s="2" t="s">
        <v>49</v>
      </c>
    </row>
    <row r="159" spans="1:17" x14ac:dyDescent="0.3">
      <c r="A159">
        <v>202400219</v>
      </c>
      <c r="B159" s="1">
        <v>45376</v>
      </c>
      <c r="C159">
        <v>2024</v>
      </c>
      <c r="D159">
        <v>1</v>
      </c>
      <c r="E159">
        <v>3</v>
      </c>
      <c r="F159">
        <v>80</v>
      </c>
      <c r="G159" s="2" t="s">
        <v>76</v>
      </c>
      <c r="H159" s="2" t="s">
        <v>26</v>
      </c>
      <c r="I159" s="2" t="s">
        <v>54</v>
      </c>
      <c r="J159" s="2" t="s">
        <v>20</v>
      </c>
      <c r="K159" s="2" t="s">
        <v>42</v>
      </c>
      <c r="L159">
        <v>5</v>
      </c>
      <c r="M159">
        <v>909.68</v>
      </c>
      <c r="N159">
        <v>4548.3999999999996</v>
      </c>
      <c r="O159" t="s">
        <v>29</v>
      </c>
      <c r="P159" s="2" t="s">
        <v>48</v>
      </c>
      <c r="Q159" s="2" t="s">
        <v>24</v>
      </c>
    </row>
    <row r="160" spans="1:17" x14ac:dyDescent="0.3">
      <c r="A160">
        <v>202400221</v>
      </c>
      <c r="B160" s="1">
        <v>45312</v>
      </c>
      <c r="C160">
        <v>2024</v>
      </c>
      <c r="D160">
        <v>1</v>
      </c>
      <c r="E160">
        <v>1</v>
      </c>
      <c r="F160">
        <v>11</v>
      </c>
      <c r="G160" s="2" t="s">
        <v>66</v>
      </c>
      <c r="H160" s="2" t="s">
        <v>18</v>
      </c>
      <c r="I160" s="2" t="s">
        <v>67</v>
      </c>
      <c r="J160" s="2" t="s">
        <v>20</v>
      </c>
      <c r="K160" s="2" t="s">
        <v>71</v>
      </c>
      <c r="L160">
        <v>1</v>
      </c>
      <c r="M160">
        <v>1441.66</v>
      </c>
      <c r="N160">
        <v>1441.66</v>
      </c>
      <c r="O160" t="s">
        <v>36</v>
      </c>
      <c r="P160" s="2" t="s">
        <v>43</v>
      </c>
      <c r="Q160" s="2" t="s">
        <v>24</v>
      </c>
    </row>
    <row r="161" spans="1:17" hidden="1" x14ac:dyDescent="0.3">
      <c r="A161">
        <v>202400266</v>
      </c>
      <c r="B161" s="1">
        <v>45587</v>
      </c>
      <c r="C161">
        <v>2024</v>
      </c>
      <c r="D161">
        <v>4</v>
      </c>
      <c r="E161">
        <v>10</v>
      </c>
      <c r="F161">
        <v>28</v>
      </c>
      <c r="G161" s="2" t="s">
        <v>114</v>
      </c>
      <c r="H161" s="2" t="s">
        <v>62</v>
      </c>
      <c r="I161" s="2" t="s">
        <v>33</v>
      </c>
      <c r="J161" s="2" t="s">
        <v>34</v>
      </c>
      <c r="K161" s="2" t="s">
        <v>97</v>
      </c>
      <c r="L161">
        <v>12</v>
      </c>
      <c r="M161">
        <v>1708.85</v>
      </c>
      <c r="N161">
        <v>20506.199999999997</v>
      </c>
      <c r="O161" t="s">
        <v>22</v>
      </c>
      <c r="P161" s="2" t="s">
        <v>43</v>
      </c>
      <c r="Q161" s="2" t="s">
        <v>24</v>
      </c>
    </row>
    <row r="162" spans="1:17" hidden="1" x14ac:dyDescent="0.3">
      <c r="A162">
        <v>202400867</v>
      </c>
      <c r="B162" s="1">
        <v>45435</v>
      </c>
      <c r="C162">
        <v>2024</v>
      </c>
      <c r="D162">
        <v>2</v>
      </c>
      <c r="E162">
        <v>5</v>
      </c>
      <c r="F162">
        <v>14</v>
      </c>
      <c r="G162" s="2" t="s">
        <v>106</v>
      </c>
      <c r="H162" s="2" t="s">
        <v>26</v>
      </c>
      <c r="I162" s="2" t="s">
        <v>54</v>
      </c>
      <c r="J162" s="2" t="s">
        <v>20</v>
      </c>
      <c r="K162" s="2" t="s">
        <v>47</v>
      </c>
      <c r="L162">
        <v>5</v>
      </c>
      <c r="M162">
        <v>1343.53</v>
      </c>
      <c r="N162">
        <v>6717.65</v>
      </c>
      <c r="O162" t="s">
        <v>29</v>
      </c>
      <c r="P162" s="2" t="s">
        <v>30</v>
      </c>
      <c r="Q162" s="2" t="s">
        <v>40</v>
      </c>
    </row>
    <row r="163" spans="1:17" hidden="1" x14ac:dyDescent="0.3">
      <c r="A163">
        <v>202400443</v>
      </c>
      <c r="B163" s="1">
        <v>45576</v>
      </c>
      <c r="C163">
        <v>2024</v>
      </c>
      <c r="D163">
        <v>4</v>
      </c>
      <c r="E163">
        <v>10</v>
      </c>
      <c r="F163">
        <v>29</v>
      </c>
      <c r="G163" s="2" t="s">
        <v>61</v>
      </c>
      <c r="H163" s="2" t="s">
        <v>62</v>
      </c>
      <c r="I163" s="2" t="s">
        <v>19</v>
      </c>
      <c r="J163" s="2" t="s">
        <v>20</v>
      </c>
      <c r="K163" s="2" t="s">
        <v>59</v>
      </c>
      <c r="L163">
        <v>1</v>
      </c>
      <c r="M163">
        <v>943.52</v>
      </c>
      <c r="N163">
        <v>943.52</v>
      </c>
      <c r="O163" t="s">
        <v>36</v>
      </c>
      <c r="P163" s="2" t="s">
        <v>43</v>
      </c>
      <c r="Q163" s="2" t="s">
        <v>24</v>
      </c>
    </row>
    <row r="164" spans="1:17" hidden="1" x14ac:dyDescent="0.3">
      <c r="A164">
        <v>202400558</v>
      </c>
      <c r="B164" s="1">
        <v>45455</v>
      </c>
      <c r="C164">
        <v>2024</v>
      </c>
      <c r="D164">
        <v>2</v>
      </c>
      <c r="E164">
        <v>6</v>
      </c>
      <c r="F164">
        <v>50</v>
      </c>
      <c r="G164" s="2" t="s">
        <v>37</v>
      </c>
      <c r="H164" s="2" t="s">
        <v>62</v>
      </c>
      <c r="I164" s="2" t="s">
        <v>38</v>
      </c>
      <c r="J164" s="2" t="s">
        <v>20</v>
      </c>
      <c r="K164" s="2" t="s">
        <v>71</v>
      </c>
      <c r="L164">
        <v>4</v>
      </c>
      <c r="M164">
        <v>1223.6600000000001</v>
      </c>
      <c r="N164">
        <v>4894.6400000000003</v>
      </c>
      <c r="O164" t="s">
        <v>29</v>
      </c>
      <c r="P164" s="2" t="s">
        <v>43</v>
      </c>
      <c r="Q164" s="2" t="s">
        <v>40</v>
      </c>
    </row>
    <row r="165" spans="1:17" hidden="1" x14ac:dyDescent="0.3">
      <c r="A165">
        <v>202400185</v>
      </c>
      <c r="B165" s="1">
        <v>45468</v>
      </c>
      <c r="C165">
        <v>2024</v>
      </c>
      <c r="D165">
        <v>2</v>
      </c>
      <c r="E165">
        <v>6</v>
      </c>
      <c r="F165">
        <v>67</v>
      </c>
      <c r="G165" s="2" t="s">
        <v>124</v>
      </c>
      <c r="H165" s="2" t="s">
        <v>69</v>
      </c>
      <c r="I165" s="2" t="s">
        <v>54</v>
      </c>
      <c r="J165" s="2" t="s">
        <v>20</v>
      </c>
      <c r="K165" s="2" t="s">
        <v>39</v>
      </c>
      <c r="L165">
        <v>7</v>
      </c>
      <c r="M165">
        <v>279.55</v>
      </c>
      <c r="N165">
        <v>1956.8500000000001</v>
      </c>
      <c r="O165" t="s">
        <v>29</v>
      </c>
      <c r="P165" s="2" t="s">
        <v>43</v>
      </c>
      <c r="Q165" s="2" t="s">
        <v>45</v>
      </c>
    </row>
    <row r="166" spans="1:17" x14ac:dyDescent="0.3">
      <c r="A166">
        <v>202400552</v>
      </c>
      <c r="B166" s="1">
        <v>45317</v>
      </c>
      <c r="C166">
        <v>2024</v>
      </c>
      <c r="D166">
        <v>1</v>
      </c>
      <c r="E166">
        <v>1</v>
      </c>
      <c r="F166">
        <v>70</v>
      </c>
      <c r="G166" s="2" t="s">
        <v>94</v>
      </c>
      <c r="H166" s="2" t="s">
        <v>18</v>
      </c>
      <c r="I166" s="2" t="s">
        <v>78</v>
      </c>
      <c r="J166" s="2" t="s">
        <v>75</v>
      </c>
      <c r="K166" s="2" t="s">
        <v>50</v>
      </c>
      <c r="L166">
        <v>7</v>
      </c>
      <c r="M166">
        <v>708.78</v>
      </c>
      <c r="N166">
        <v>4961.46</v>
      </c>
      <c r="O166" t="s">
        <v>29</v>
      </c>
      <c r="P166" s="2" t="s">
        <v>30</v>
      </c>
      <c r="Q166" s="2" t="s">
        <v>49</v>
      </c>
    </row>
    <row r="167" spans="1:17" hidden="1" x14ac:dyDescent="0.3">
      <c r="A167">
        <v>202400946</v>
      </c>
      <c r="B167" s="1">
        <v>45396</v>
      </c>
      <c r="C167">
        <v>2024</v>
      </c>
      <c r="D167">
        <v>2</v>
      </c>
      <c r="E167">
        <v>4</v>
      </c>
      <c r="F167">
        <v>14</v>
      </c>
      <c r="G167" s="2" t="s">
        <v>106</v>
      </c>
      <c r="H167" s="2" t="s">
        <v>26</v>
      </c>
      <c r="I167" s="2" t="s">
        <v>54</v>
      </c>
      <c r="J167" s="2" t="s">
        <v>20</v>
      </c>
      <c r="K167" s="2" t="s">
        <v>51</v>
      </c>
      <c r="L167">
        <v>8</v>
      </c>
      <c r="M167">
        <v>864.28</v>
      </c>
      <c r="N167">
        <v>6914.24</v>
      </c>
      <c r="O167" t="s">
        <v>29</v>
      </c>
      <c r="P167" s="2" t="s">
        <v>43</v>
      </c>
      <c r="Q167" s="2" t="s">
        <v>45</v>
      </c>
    </row>
    <row r="168" spans="1:17" x14ac:dyDescent="0.3">
      <c r="A168">
        <v>202400902</v>
      </c>
      <c r="B168" s="1">
        <v>45296</v>
      </c>
      <c r="C168">
        <v>2024</v>
      </c>
      <c r="D168">
        <v>1</v>
      </c>
      <c r="E168">
        <v>1</v>
      </c>
      <c r="F168">
        <v>3</v>
      </c>
      <c r="G168" s="2" t="s">
        <v>44</v>
      </c>
      <c r="H168" s="2" t="s">
        <v>26</v>
      </c>
      <c r="I168" s="2" t="s">
        <v>38</v>
      </c>
      <c r="J168" s="2" t="s">
        <v>20</v>
      </c>
      <c r="K168" s="2" t="s">
        <v>51</v>
      </c>
      <c r="L168">
        <v>3</v>
      </c>
      <c r="M168">
        <v>1081.02</v>
      </c>
      <c r="N168">
        <v>3243.06</v>
      </c>
      <c r="O168" t="s">
        <v>29</v>
      </c>
      <c r="P168" s="2" t="s">
        <v>43</v>
      </c>
      <c r="Q168" s="2" t="s">
        <v>24</v>
      </c>
    </row>
    <row r="169" spans="1:17" hidden="1" x14ac:dyDescent="0.3">
      <c r="A169">
        <v>202400164</v>
      </c>
      <c r="B169" s="1">
        <v>45533</v>
      </c>
      <c r="C169">
        <v>2024</v>
      </c>
      <c r="D169">
        <v>3</v>
      </c>
      <c r="E169">
        <v>8</v>
      </c>
      <c r="F169">
        <v>39</v>
      </c>
      <c r="G169" s="2" t="s">
        <v>98</v>
      </c>
      <c r="H169" s="2" t="s">
        <v>18</v>
      </c>
      <c r="I169" s="2" t="s">
        <v>19</v>
      </c>
      <c r="J169" s="2" t="s">
        <v>20</v>
      </c>
      <c r="K169" s="2" t="s">
        <v>42</v>
      </c>
      <c r="L169">
        <v>4</v>
      </c>
      <c r="M169">
        <v>1620.34</v>
      </c>
      <c r="N169">
        <v>6481.36</v>
      </c>
      <c r="O169" t="s">
        <v>29</v>
      </c>
      <c r="P169" s="2" t="s">
        <v>30</v>
      </c>
      <c r="Q169" s="2" t="s">
        <v>41</v>
      </c>
    </row>
    <row r="170" spans="1:17" hidden="1" x14ac:dyDescent="0.3">
      <c r="A170">
        <v>202400573</v>
      </c>
      <c r="B170" s="1">
        <v>45388</v>
      </c>
      <c r="C170">
        <v>2024</v>
      </c>
      <c r="D170">
        <v>2</v>
      </c>
      <c r="E170">
        <v>4</v>
      </c>
      <c r="F170">
        <v>27</v>
      </c>
      <c r="G170" s="2" t="s">
        <v>83</v>
      </c>
      <c r="H170" s="2" t="s">
        <v>18</v>
      </c>
      <c r="I170" s="2" t="s">
        <v>74</v>
      </c>
      <c r="J170" s="2" t="s">
        <v>75</v>
      </c>
      <c r="K170" s="2" t="s">
        <v>59</v>
      </c>
      <c r="L170">
        <v>6</v>
      </c>
      <c r="M170">
        <v>1268.44</v>
      </c>
      <c r="N170">
        <v>7610.64</v>
      </c>
      <c r="O170" t="s">
        <v>29</v>
      </c>
      <c r="P170" s="2" t="s">
        <v>23</v>
      </c>
      <c r="Q170" s="2" t="s">
        <v>24</v>
      </c>
    </row>
    <row r="171" spans="1:17" hidden="1" x14ac:dyDescent="0.3">
      <c r="A171">
        <v>202400951</v>
      </c>
      <c r="B171" s="1">
        <v>45436</v>
      </c>
      <c r="C171">
        <v>2024</v>
      </c>
      <c r="D171">
        <v>2</v>
      </c>
      <c r="E171">
        <v>5</v>
      </c>
      <c r="F171">
        <v>63</v>
      </c>
      <c r="G171" s="2" t="s">
        <v>64</v>
      </c>
      <c r="H171" s="2" t="s">
        <v>69</v>
      </c>
      <c r="I171" s="2" t="s">
        <v>65</v>
      </c>
      <c r="J171" s="2" t="s">
        <v>34</v>
      </c>
      <c r="K171" s="2" t="s">
        <v>50</v>
      </c>
      <c r="L171">
        <v>12</v>
      </c>
      <c r="M171">
        <v>1242.4000000000001</v>
      </c>
      <c r="N171">
        <v>14908.800000000001</v>
      </c>
      <c r="O171" t="s">
        <v>22</v>
      </c>
      <c r="P171" s="2" t="s">
        <v>43</v>
      </c>
      <c r="Q171" s="2" t="s">
        <v>24</v>
      </c>
    </row>
    <row r="172" spans="1:17" hidden="1" x14ac:dyDescent="0.3">
      <c r="A172">
        <v>202400157</v>
      </c>
      <c r="B172" s="1">
        <v>45643</v>
      </c>
      <c r="C172">
        <v>2024</v>
      </c>
      <c r="D172">
        <v>4</v>
      </c>
      <c r="E172">
        <v>12</v>
      </c>
      <c r="F172">
        <v>71</v>
      </c>
      <c r="G172" s="2" t="s">
        <v>80</v>
      </c>
      <c r="H172" s="2" t="s">
        <v>18</v>
      </c>
      <c r="I172" s="2" t="s">
        <v>65</v>
      </c>
      <c r="J172" s="2" t="s">
        <v>34</v>
      </c>
      <c r="K172" s="2" t="s">
        <v>39</v>
      </c>
      <c r="L172">
        <v>13</v>
      </c>
      <c r="M172">
        <v>847.25</v>
      </c>
      <c r="N172">
        <v>11014.25</v>
      </c>
      <c r="O172" t="s">
        <v>22</v>
      </c>
      <c r="P172" s="2" t="s">
        <v>43</v>
      </c>
      <c r="Q172" s="2" t="s">
        <v>24</v>
      </c>
    </row>
    <row r="173" spans="1:17" hidden="1" x14ac:dyDescent="0.3">
      <c r="A173">
        <v>202400886</v>
      </c>
      <c r="B173" s="1">
        <v>45621</v>
      </c>
      <c r="C173">
        <v>2024</v>
      </c>
      <c r="D173">
        <v>4</v>
      </c>
      <c r="E173">
        <v>11</v>
      </c>
      <c r="F173">
        <v>54</v>
      </c>
      <c r="G173" s="2" t="s">
        <v>68</v>
      </c>
      <c r="H173" s="2" t="s">
        <v>69</v>
      </c>
      <c r="I173" s="2" t="s">
        <v>19</v>
      </c>
      <c r="J173" s="2" t="s">
        <v>20</v>
      </c>
      <c r="K173" s="2" t="s">
        <v>47</v>
      </c>
      <c r="L173">
        <v>9</v>
      </c>
      <c r="M173">
        <v>835.51</v>
      </c>
      <c r="N173">
        <v>7519.59</v>
      </c>
      <c r="O173" t="s">
        <v>29</v>
      </c>
      <c r="P173" s="2" t="s">
        <v>43</v>
      </c>
      <c r="Q173" s="2" t="s">
        <v>24</v>
      </c>
    </row>
    <row r="174" spans="1:17" hidden="1" x14ac:dyDescent="0.3">
      <c r="A174">
        <v>202400507</v>
      </c>
      <c r="B174" s="1">
        <v>45457</v>
      </c>
      <c r="C174">
        <v>2024</v>
      </c>
      <c r="D174">
        <v>2</v>
      </c>
      <c r="E174">
        <v>6</v>
      </c>
      <c r="F174">
        <v>68</v>
      </c>
      <c r="G174" s="2" t="s">
        <v>128</v>
      </c>
      <c r="H174" s="2" t="s">
        <v>140</v>
      </c>
      <c r="I174" s="2" t="s">
        <v>85</v>
      </c>
      <c r="J174" s="2" t="s">
        <v>57</v>
      </c>
      <c r="K174" s="2" t="s">
        <v>97</v>
      </c>
      <c r="L174">
        <v>9</v>
      </c>
      <c r="M174">
        <v>1891.21</v>
      </c>
      <c r="N174">
        <v>17020.89</v>
      </c>
      <c r="O174" t="s">
        <v>29</v>
      </c>
      <c r="P174" s="2" t="s">
        <v>48</v>
      </c>
      <c r="Q174" s="2" t="s">
        <v>24</v>
      </c>
    </row>
    <row r="175" spans="1:17" hidden="1" x14ac:dyDescent="0.3">
      <c r="A175">
        <v>202401143</v>
      </c>
      <c r="B175" s="1">
        <v>45562</v>
      </c>
      <c r="C175">
        <v>2024</v>
      </c>
      <c r="D175">
        <v>3</v>
      </c>
      <c r="E175">
        <v>9</v>
      </c>
      <c r="F175">
        <v>5</v>
      </c>
      <c r="G175" s="2" t="s">
        <v>121</v>
      </c>
      <c r="H175" s="2" t="s">
        <v>62</v>
      </c>
      <c r="I175" s="2" t="s">
        <v>27</v>
      </c>
      <c r="J175" s="2" t="s">
        <v>20</v>
      </c>
      <c r="K175" s="2" t="s">
        <v>59</v>
      </c>
      <c r="L175">
        <v>2</v>
      </c>
      <c r="M175">
        <v>1076.07</v>
      </c>
      <c r="N175">
        <v>2152.14</v>
      </c>
      <c r="O175" t="s">
        <v>36</v>
      </c>
      <c r="P175" s="2" t="s">
        <v>43</v>
      </c>
      <c r="Q175" s="2" t="s">
        <v>40</v>
      </c>
    </row>
    <row r="176" spans="1:17" hidden="1" x14ac:dyDescent="0.3">
      <c r="A176">
        <v>202400926</v>
      </c>
      <c r="B176" s="1">
        <v>45460</v>
      </c>
      <c r="C176">
        <v>2024</v>
      </c>
      <c r="D176">
        <v>2</v>
      </c>
      <c r="E176">
        <v>6</v>
      </c>
      <c r="F176">
        <v>17</v>
      </c>
      <c r="G176" s="2" t="s">
        <v>77</v>
      </c>
      <c r="H176" s="2" t="s">
        <v>69</v>
      </c>
      <c r="I176" s="2" t="s">
        <v>78</v>
      </c>
      <c r="J176" s="2" t="s">
        <v>75</v>
      </c>
      <c r="K176" s="2" t="s">
        <v>60</v>
      </c>
      <c r="L176">
        <v>14</v>
      </c>
      <c r="M176">
        <v>96.02</v>
      </c>
      <c r="N176">
        <v>1344.28</v>
      </c>
      <c r="O176" t="s">
        <v>22</v>
      </c>
      <c r="P176" s="2" t="s">
        <v>48</v>
      </c>
      <c r="Q176" s="2" t="s">
        <v>40</v>
      </c>
    </row>
    <row r="177" spans="1:17" hidden="1" x14ac:dyDescent="0.3">
      <c r="A177">
        <v>202401036</v>
      </c>
      <c r="B177" s="1">
        <v>45486</v>
      </c>
      <c r="C177">
        <v>2024</v>
      </c>
      <c r="D177">
        <v>3</v>
      </c>
      <c r="E177">
        <v>7</v>
      </c>
      <c r="F177">
        <v>46</v>
      </c>
      <c r="G177" s="2" t="s">
        <v>88</v>
      </c>
      <c r="H177" s="2" t="s">
        <v>26</v>
      </c>
      <c r="I177" s="2" t="s">
        <v>85</v>
      </c>
      <c r="J177" s="2" t="s">
        <v>57</v>
      </c>
      <c r="K177" s="2" t="s">
        <v>97</v>
      </c>
      <c r="L177">
        <v>14</v>
      </c>
      <c r="M177">
        <v>830.68</v>
      </c>
      <c r="N177">
        <v>11629.519999999999</v>
      </c>
      <c r="O177" t="s">
        <v>22</v>
      </c>
      <c r="P177" s="2" t="s">
        <v>43</v>
      </c>
      <c r="Q177" s="2" t="s">
        <v>24</v>
      </c>
    </row>
    <row r="178" spans="1:17" hidden="1" x14ac:dyDescent="0.3">
      <c r="A178">
        <v>202400291</v>
      </c>
      <c r="B178" s="1">
        <v>45592</v>
      </c>
      <c r="C178">
        <v>2024</v>
      </c>
      <c r="D178">
        <v>4</v>
      </c>
      <c r="E178">
        <v>10</v>
      </c>
      <c r="F178">
        <v>14</v>
      </c>
      <c r="G178" s="2" t="s">
        <v>106</v>
      </c>
      <c r="H178" s="2" t="s">
        <v>26</v>
      </c>
      <c r="I178" s="2" t="s">
        <v>54</v>
      </c>
      <c r="J178" s="2" t="s">
        <v>20</v>
      </c>
      <c r="K178" s="2" t="s">
        <v>97</v>
      </c>
      <c r="L178">
        <v>8</v>
      </c>
      <c r="M178">
        <v>737.91</v>
      </c>
      <c r="N178">
        <v>5903.28</v>
      </c>
      <c r="O178" t="s">
        <v>29</v>
      </c>
      <c r="P178" s="2" t="s">
        <v>43</v>
      </c>
      <c r="Q178" s="2" t="s">
        <v>41</v>
      </c>
    </row>
    <row r="179" spans="1:17" hidden="1" x14ac:dyDescent="0.3">
      <c r="A179">
        <v>202400683</v>
      </c>
      <c r="B179" s="1">
        <v>45400</v>
      </c>
      <c r="C179">
        <v>2024</v>
      </c>
      <c r="D179">
        <v>2</v>
      </c>
      <c r="E179">
        <v>4</v>
      </c>
      <c r="F179">
        <v>44</v>
      </c>
      <c r="G179" s="2" t="s">
        <v>129</v>
      </c>
      <c r="H179" s="2" t="s">
        <v>140</v>
      </c>
      <c r="I179" s="2" t="s">
        <v>27</v>
      </c>
      <c r="J179" s="2" t="s">
        <v>20</v>
      </c>
      <c r="K179" s="2" t="s">
        <v>50</v>
      </c>
      <c r="L179">
        <v>1</v>
      </c>
      <c r="M179">
        <v>770.69</v>
      </c>
      <c r="N179">
        <v>770.69</v>
      </c>
      <c r="O179" t="s">
        <v>36</v>
      </c>
      <c r="P179" s="2" t="s">
        <v>30</v>
      </c>
      <c r="Q179" s="2" t="s">
        <v>40</v>
      </c>
    </row>
    <row r="180" spans="1:17" hidden="1" x14ac:dyDescent="0.3">
      <c r="A180">
        <v>202400999</v>
      </c>
      <c r="B180" s="1">
        <v>45631</v>
      </c>
      <c r="C180">
        <v>2024</v>
      </c>
      <c r="D180">
        <v>4</v>
      </c>
      <c r="E180">
        <v>12</v>
      </c>
      <c r="F180">
        <v>32</v>
      </c>
      <c r="G180" s="2" t="s">
        <v>93</v>
      </c>
      <c r="H180" s="2" t="s">
        <v>26</v>
      </c>
      <c r="I180" s="2" t="s">
        <v>65</v>
      </c>
      <c r="J180" s="2" t="s">
        <v>34</v>
      </c>
      <c r="K180" s="2" t="s">
        <v>21</v>
      </c>
      <c r="L180">
        <v>5</v>
      </c>
      <c r="M180">
        <v>1270.4000000000001</v>
      </c>
      <c r="N180">
        <v>6352</v>
      </c>
      <c r="O180" t="s">
        <v>29</v>
      </c>
      <c r="P180" s="2" t="s">
        <v>30</v>
      </c>
      <c r="Q180" s="2" t="s">
        <v>40</v>
      </c>
    </row>
    <row r="181" spans="1:17" hidden="1" x14ac:dyDescent="0.3">
      <c r="A181">
        <v>202400765</v>
      </c>
      <c r="B181" s="1">
        <v>45622</v>
      </c>
      <c r="C181">
        <v>2024</v>
      </c>
      <c r="D181">
        <v>4</v>
      </c>
      <c r="E181">
        <v>11</v>
      </c>
      <c r="F181">
        <v>63</v>
      </c>
      <c r="G181" s="2" t="s">
        <v>64</v>
      </c>
      <c r="H181" s="2" t="s">
        <v>69</v>
      </c>
      <c r="I181" s="2" t="s">
        <v>65</v>
      </c>
      <c r="J181" s="2" t="s">
        <v>34</v>
      </c>
      <c r="K181" s="2" t="s">
        <v>21</v>
      </c>
      <c r="L181">
        <v>14</v>
      </c>
      <c r="M181">
        <v>316.67</v>
      </c>
      <c r="N181">
        <v>4433.38</v>
      </c>
      <c r="O181" t="s">
        <v>22</v>
      </c>
      <c r="P181" s="2" t="s">
        <v>43</v>
      </c>
      <c r="Q181" s="2" t="s">
        <v>24</v>
      </c>
    </row>
    <row r="182" spans="1:17" x14ac:dyDescent="0.3">
      <c r="A182">
        <v>202400193</v>
      </c>
      <c r="B182" s="1">
        <v>45341</v>
      </c>
      <c r="C182">
        <v>2024</v>
      </c>
      <c r="D182">
        <v>1</v>
      </c>
      <c r="E182">
        <v>2</v>
      </c>
      <c r="F182">
        <v>38</v>
      </c>
      <c r="G182" s="2" t="s">
        <v>92</v>
      </c>
      <c r="H182" s="2" t="s">
        <v>18</v>
      </c>
      <c r="I182" s="2" t="s">
        <v>78</v>
      </c>
      <c r="J182" s="2" t="s">
        <v>75</v>
      </c>
      <c r="K182" s="2" t="s">
        <v>59</v>
      </c>
      <c r="L182">
        <v>10</v>
      </c>
      <c r="M182">
        <v>1208.8599999999999</v>
      </c>
      <c r="N182">
        <v>12088.599999999999</v>
      </c>
      <c r="O182" t="s">
        <v>22</v>
      </c>
      <c r="P182" s="2" t="s">
        <v>43</v>
      </c>
      <c r="Q182" s="2" t="s">
        <v>24</v>
      </c>
    </row>
    <row r="183" spans="1:17" hidden="1" x14ac:dyDescent="0.3">
      <c r="A183">
        <v>202400528</v>
      </c>
      <c r="B183" s="1">
        <v>45463</v>
      </c>
      <c r="C183">
        <v>2024</v>
      </c>
      <c r="D183">
        <v>2</v>
      </c>
      <c r="E183">
        <v>6</v>
      </c>
      <c r="F183">
        <v>61</v>
      </c>
      <c r="G183" s="2" t="s">
        <v>90</v>
      </c>
      <c r="H183" s="2" t="s">
        <v>69</v>
      </c>
      <c r="I183" s="2" t="s">
        <v>65</v>
      </c>
      <c r="J183" s="2" t="s">
        <v>34</v>
      </c>
      <c r="K183" s="2" t="s">
        <v>60</v>
      </c>
      <c r="L183">
        <v>12</v>
      </c>
      <c r="M183">
        <v>715.48</v>
      </c>
      <c r="N183">
        <v>8585.76</v>
      </c>
      <c r="O183" t="s">
        <v>22</v>
      </c>
      <c r="P183" s="2" t="s">
        <v>30</v>
      </c>
      <c r="Q183" s="2" t="s">
        <v>24</v>
      </c>
    </row>
    <row r="184" spans="1:17" hidden="1" x14ac:dyDescent="0.3">
      <c r="A184">
        <v>202400439</v>
      </c>
      <c r="B184" s="1">
        <v>45640</v>
      </c>
      <c r="C184">
        <v>2024</v>
      </c>
      <c r="D184">
        <v>4</v>
      </c>
      <c r="E184">
        <v>12</v>
      </c>
      <c r="F184">
        <v>32</v>
      </c>
      <c r="G184" s="2" t="s">
        <v>93</v>
      </c>
      <c r="H184" s="2" t="s">
        <v>26</v>
      </c>
      <c r="I184" s="2" t="s">
        <v>65</v>
      </c>
      <c r="J184" s="2" t="s">
        <v>34</v>
      </c>
      <c r="K184" s="2" t="s">
        <v>28</v>
      </c>
      <c r="L184">
        <v>7</v>
      </c>
      <c r="M184">
        <v>1244.27</v>
      </c>
      <c r="N184">
        <v>8709.89</v>
      </c>
      <c r="O184" t="s">
        <v>29</v>
      </c>
      <c r="P184" s="2" t="s">
        <v>30</v>
      </c>
      <c r="Q184" s="2" t="s">
        <v>24</v>
      </c>
    </row>
    <row r="185" spans="1:17" x14ac:dyDescent="0.3">
      <c r="A185">
        <v>202400287</v>
      </c>
      <c r="B185" s="1">
        <v>45303</v>
      </c>
      <c r="C185">
        <v>2024</v>
      </c>
      <c r="D185">
        <v>1</v>
      </c>
      <c r="E185">
        <v>1</v>
      </c>
      <c r="F185">
        <v>15</v>
      </c>
      <c r="G185" s="2" t="s">
        <v>115</v>
      </c>
      <c r="H185" s="2" t="s">
        <v>140</v>
      </c>
      <c r="I185" s="2" t="s">
        <v>19</v>
      </c>
      <c r="J185" s="2" t="s">
        <v>20</v>
      </c>
      <c r="K185" s="2" t="s">
        <v>59</v>
      </c>
      <c r="L185">
        <v>11</v>
      </c>
      <c r="M185">
        <v>216.43</v>
      </c>
      <c r="N185">
        <v>2380.73</v>
      </c>
      <c r="O185" t="s">
        <v>22</v>
      </c>
      <c r="P185" s="2" t="s">
        <v>48</v>
      </c>
      <c r="Q185" s="2" t="s">
        <v>24</v>
      </c>
    </row>
    <row r="186" spans="1:17" hidden="1" x14ac:dyDescent="0.3">
      <c r="A186">
        <v>202400428</v>
      </c>
      <c r="B186" s="1">
        <v>45527</v>
      </c>
      <c r="C186">
        <v>2024</v>
      </c>
      <c r="D186">
        <v>3</v>
      </c>
      <c r="E186">
        <v>8</v>
      </c>
      <c r="F186">
        <v>18</v>
      </c>
      <c r="G186" s="2" t="s">
        <v>116</v>
      </c>
      <c r="H186" s="2" t="s">
        <v>62</v>
      </c>
      <c r="I186" s="2" t="s">
        <v>54</v>
      </c>
      <c r="J186" s="2" t="s">
        <v>20</v>
      </c>
      <c r="K186" s="2" t="s">
        <v>59</v>
      </c>
      <c r="L186">
        <v>14</v>
      </c>
      <c r="M186">
        <v>1655.94</v>
      </c>
      <c r="N186">
        <v>23183.16</v>
      </c>
      <c r="O186" t="s">
        <v>22</v>
      </c>
      <c r="P186" s="2" t="s">
        <v>23</v>
      </c>
      <c r="Q186" s="2" t="s">
        <v>41</v>
      </c>
    </row>
    <row r="187" spans="1:17" x14ac:dyDescent="0.3">
      <c r="A187">
        <v>202400977</v>
      </c>
      <c r="B187" s="1">
        <v>45367</v>
      </c>
      <c r="C187">
        <v>2024</v>
      </c>
      <c r="D187">
        <v>1</v>
      </c>
      <c r="E187">
        <v>3</v>
      </c>
      <c r="F187">
        <v>41</v>
      </c>
      <c r="G187" s="2" t="s">
        <v>99</v>
      </c>
      <c r="H187" s="2" t="s">
        <v>18</v>
      </c>
      <c r="I187" s="2" t="s">
        <v>78</v>
      </c>
      <c r="J187" s="2" t="s">
        <v>75</v>
      </c>
      <c r="K187" s="2" t="s">
        <v>35</v>
      </c>
      <c r="L187">
        <v>2</v>
      </c>
      <c r="M187">
        <v>1628.15</v>
      </c>
      <c r="N187">
        <v>3256.3</v>
      </c>
      <c r="O187" t="s">
        <v>36</v>
      </c>
      <c r="P187" s="2" t="s">
        <v>43</v>
      </c>
      <c r="Q187" s="2" t="s">
        <v>24</v>
      </c>
    </row>
    <row r="188" spans="1:17" hidden="1" x14ac:dyDescent="0.3">
      <c r="A188">
        <v>202400574</v>
      </c>
      <c r="B188" s="1">
        <v>45431</v>
      </c>
      <c r="C188">
        <v>2024</v>
      </c>
      <c r="D188">
        <v>2</v>
      </c>
      <c r="E188">
        <v>5</v>
      </c>
      <c r="F188">
        <v>73</v>
      </c>
      <c r="G188" s="2" t="s">
        <v>111</v>
      </c>
      <c r="H188" s="2" t="s">
        <v>26</v>
      </c>
      <c r="I188" s="2" t="s">
        <v>27</v>
      </c>
      <c r="J188" s="2" t="s">
        <v>20</v>
      </c>
      <c r="K188" s="2" t="s">
        <v>35</v>
      </c>
      <c r="L188">
        <v>9</v>
      </c>
      <c r="M188">
        <v>750.59</v>
      </c>
      <c r="N188">
        <v>6755.31</v>
      </c>
      <c r="O188" t="s">
        <v>29</v>
      </c>
      <c r="P188" s="2" t="s">
        <v>30</v>
      </c>
      <c r="Q188" s="2" t="s">
        <v>24</v>
      </c>
    </row>
    <row r="189" spans="1:17" x14ac:dyDescent="0.3">
      <c r="A189">
        <v>202400533</v>
      </c>
      <c r="B189" s="1">
        <v>45311</v>
      </c>
      <c r="C189">
        <v>2024</v>
      </c>
      <c r="D189">
        <v>1</v>
      </c>
      <c r="E189">
        <v>1</v>
      </c>
      <c r="F189">
        <v>16</v>
      </c>
      <c r="G189" s="2" t="s">
        <v>91</v>
      </c>
      <c r="H189" s="2" t="s">
        <v>18</v>
      </c>
      <c r="I189" s="2" t="s">
        <v>65</v>
      </c>
      <c r="J189" s="2" t="s">
        <v>34</v>
      </c>
      <c r="K189" s="2" t="s">
        <v>47</v>
      </c>
      <c r="L189">
        <v>8</v>
      </c>
      <c r="M189">
        <v>1464.39</v>
      </c>
      <c r="N189">
        <v>11715.12</v>
      </c>
      <c r="O189" t="s">
        <v>29</v>
      </c>
      <c r="P189" s="2" t="s">
        <v>43</v>
      </c>
      <c r="Q189" s="2" t="s">
        <v>41</v>
      </c>
    </row>
    <row r="190" spans="1:17" hidden="1" x14ac:dyDescent="0.3">
      <c r="A190">
        <v>202400753</v>
      </c>
      <c r="B190" s="1">
        <v>45646</v>
      </c>
      <c r="C190">
        <v>2024</v>
      </c>
      <c r="D190">
        <v>4</v>
      </c>
      <c r="E190">
        <v>12</v>
      </c>
      <c r="F190">
        <v>28</v>
      </c>
      <c r="G190" s="2" t="s">
        <v>114</v>
      </c>
      <c r="H190" s="2" t="s">
        <v>62</v>
      </c>
      <c r="I190" s="2" t="s">
        <v>33</v>
      </c>
      <c r="J190" s="2" t="s">
        <v>34</v>
      </c>
      <c r="K190" s="2" t="s">
        <v>59</v>
      </c>
      <c r="L190">
        <v>13</v>
      </c>
      <c r="M190">
        <v>1009.72</v>
      </c>
      <c r="N190">
        <v>13126.36</v>
      </c>
      <c r="O190" t="s">
        <v>22</v>
      </c>
      <c r="P190" s="2" t="s">
        <v>30</v>
      </c>
      <c r="Q190" s="2" t="s">
        <v>24</v>
      </c>
    </row>
    <row r="191" spans="1:17" x14ac:dyDescent="0.3">
      <c r="A191">
        <v>202400097</v>
      </c>
      <c r="B191" s="1">
        <v>45306</v>
      </c>
      <c r="C191">
        <v>2024</v>
      </c>
      <c r="D191">
        <v>1</v>
      </c>
      <c r="E191">
        <v>1</v>
      </c>
      <c r="F191">
        <v>5</v>
      </c>
      <c r="G191" s="2" t="s">
        <v>121</v>
      </c>
      <c r="H191" s="2" t="s">
        <v>62</v>
      </c>
      <c r="I191" s="2" t="s">
        <v>27</v>
      </c>
      <c r="J191" s="2" t="s">
        <v>20</v>
      </c>
      <c r="K191" s="2" t="s">
        <v>21</v>
      </c>
      <c r="L191">
        <v>11</v>
      </c>
      <c r="M191">
        <v>753.24</v>
      </c>
      <c r="N191">
        <v>8285.64</v>
      </c>
      <c r="O191" t="s">
        <v>22</v>
      </c>
      <c r="P191" s="2" t="s">
        <v>30</v>
      </c>
      <c r="Q191" s="2" t="s">
        <v>24</v>
      </c>
    </row>
    <row r="192" spans="1:17" hidden="1" x14ac:dyDescent="0.3">
      <c r="A192">
        <v>202401129</v>
      </c>
      <c r="B192" s="1">
        <v>45566</v>
      </c>
      <c r="C192">
        <v>2024</v>
      </c>
      <c r="D192">
        <v>4</v>
      </c>
      <c r="E192">
        <v>10</v>
      </c>
      <c r="F192">
        <v>49</v>
      </c>
      <c r="G192" s="2" t="s">
        <v>83</v>
      </c>
      <c r="H192" s="2" t="s">
        <v>69</v>
      </c>
      <c r="I192" s="2" t="s">
        <v>56</v>
      </c>
      <c r="J192" s="2" t="s">
        <v>57</v>
      </c>
      <c r="K192" s="2" t="s">
        <v>70</v>
      </c>
      <c r="L192">
        <v>4</v>
      </c>
      <c r="M192">
        <v>609.41999999999996</v>
      </c>
      <c r="N192">
        <v>2437.6799999999998</v>
      </c>
      <c r="O192" t="s">
        <v>29</v>
      </c>
      <c r="P192" s="2" t="s">
        <v>43</v>
      </c>
      <c r="Q192" s="2" t="s">
        <v>31</v>
      </c>
    </row>
    <row r="193" spans="1:17" hidden="1" x14ac:dyDescent="0.3">
      <c r="A193">
        <v>202400837</v>
      </c>
      <c r="B193" s="1">
        <v>45560</v>
      </c>
      <c r="C193">
        <v>2024</v>
      </c>
      <c r="D193">
        <v>3</v>
      </c>
      <c r="E193">
        <v>9</v>
      </c>
      <c r="F193">
        <v>13</v>
      </c>
      <c r="G193" s="2" t="s">
        <v>72</v>
      </c>
      <c r="H193" s="2" t="s">
        <v>69</v>
      </c>
      <c r="I193" s="2" t="s">
        <v>38</v>
      </c>
      <c r="J193" s="2" t="s">
        <v>20</v>
      </c>
      <c r="K193" s="2" t="s">
        <v>21</v>
      </c>
      <c r="L193">
        <v>10</v>
      </c>
      <c r="M193">
        <v>163.5</v>
      </c>
      <c r="N193">
        <v>1635</v>
      </c>
      <c r="O193" t="s">
        <v>22</v>
      </c>
      <c r="P193" s="2" t="s">
        <v>48</v>
      </c>
      <c r="Q193" s="2" t="s">
        <v>40</v>
      </c>
    </row>
    <row r="194" spans="1:17" hidden="1" x14ac:dyDescent="0.3">
      <c r="A194">
        <v>202400179</v>
      </c>
      <c r="B194" s="1">
        <v>45504</v>
      </c>
      <c r="C194">
        <v>2024</v>
      </c>
      <c r="D194">
        <v>3</v>
      </c>
      <c r="E194">
        <v>7</v>
      </c>
      <c r="F194">
        <v>52</v>
      </c>
      <c r="G194" s="2" t="s">
        <v>105</v>
      </c>
      <c r="H194" s="2" t="s">
        <v>62</v>
      </c>
      <c r="I194" s="2" t="s">
        <v>78</v>
      </c>
      <c r="J194" s="2" t="s">
        <v>75</v>
      </c>
      <c r="K194" s="2" t="s">
        <v>97</v>
      </c>
      <c r="L194">
        <v>9</v>
      </c>
      <c r="M194">
        <v>704.32</v>
      </c>
      <c r="N194">
        <v>6338.88</v>
      </c>
      <c r="O194" t="s">
        <v>29</v>
      </c>
      <c r="P194" s="2" t="s">
        <v>43</v>
      </c>
      <c r="Q194" s="2" t="s">
        <v>24</v>
      </c>
    </row>
    <row r="195" spans="1:17" hidden="1" x14ac:dyDescent="0.3">
      <c r="A195">
        <v>202400032</v>
      </c>
      <c r="B195" s="1">
        <v>45596</v>
      </c>
      <c r="C195">
        <v>2024</v>
      </c>
      <c r="D195">
        <v>4</v>
      </c>
      <c r="E195">
        <v>10</v>
      </c>
      <c r="F195">
        <v>49</v>
      </c>
      <c r="G195" s="2" t="s">
        <v>83</v>
      </c>
      <c r="H195" s="2" t="s">
        <v>69</v>
      </c>
      <c r="I195" s="2" t="s">
        <v>56</v>
      </c>
      <c r="J195" s="2" t="s">
        <v>57</v>
      </c>
      <c r="K195" s="2" t="s">
        <v>35</v>
      </c>
      <c r="L195">
        <v>8</v>
      </c>
      <c r="M195">
        <v>557.84</v>
      </c>
      <c r="N195">
        <v>4462.72</v>
      </c>
      <c r="O195" t="s">
        <v>29</v>
      </c>
      <c r="P195" s="2" t="s">
        <v>30</v>
      </c>
      <c r="Q195" s="2" t="s">
        <v>24</v>
      </c>
    </row>
    <row r="196" spans="1:17" x14ac:dyDescent="0.3">
      <c r="A196">
        <v>202400728</v>
      </c>
      <c r="B196" s="1">
        <v>45320</v>
      </c>
      <c r="C196">
        <v>2024</v>
      </c>
      <c r="D196">
        <v>1</v>
      </c>
      <c r="E196">
        <v>1</v>
      </c>
      <c r="F196">
        <v>62</v>
      </c>
      <c r="G196" s="2" t="s">
        <v>118</v>
      </c>
      <c r="H196" s="2" t="s">
        <v>18</v>
      </c>
      <c r="I196" s="2" t="s">
        <v>54</v>
      </c>
      <c r="J196" s="2" t="s">
        <v>20</v>
      </c>
      <c r="K196" s="2" t="s">
        <v>42</v>
      </c>
      <c r="L196">
        <v>7</v>
      </c>
      <c r="M196">
        <v>1771.91</v>
      </c>
      <c r="N196">
        <v>12403.37</v>
      </c>
      <c r="O196" t="s">
        <v>29</v>
      </c>
      <c r="P196" s="2" t="s">
        <v>43</v>
      </c>
      <c r="Q196" s="2" t="s">
        <v>40</v>
      </c>
    </row>
    <row r="197" spans="1:17" hidden="1" x14ac:dyDescent="0.3">
      <c r="A197">
        <v>202400873</v>
      </c>
      <c r="B197" s="1">
        <v>45385</v>
      </c>
      <c r="C197">
        <v>2024</v>
      </c>
      <c r="D197">
        <v>2</v>
      </c>
      <c r="E197">
        <v>4</v>
      </c>
      <c r="F197">
        <v>46</v>
      </c>
      <c r="G197" s="2" t="s">
        <v>88</v>
      </c>
      <c r="H197" s="2" t="s">
        <v>26</v>
      </c>
      <c r="I197" s="2" t="s">
        <v>85</v>
      </c>
      <c r="J197" s="2" t="s">
        <v>57</v>
      </c>
      <c r="K197" s="2" t="s">
        <v>51</v>
      </c>
      <c r="L197">
        <v>7</v>
      </c>
      <c r="M197">
        <v>1506.1</v>
      </c>
      <c r="N197">
        <v>10542.699999999999</v>
      </c>
      <c r="O197" t="s">
        <v>29</v>
      </c>
      <c r="P197" s="2" t="s">
        <v>43</v>
      </c>
      <c r="Q197" s="2" t="s">
        <v>24</v>
      </c>
    </row>
    <row r="198" spans="1:17" hidden="1" x14ac:dyDescent="0.3">
      <c r="A198">
        <v>202400343</v>
      </c>
      <c r="B198" s="1">
        <v>45625</v>
      </c>
      <c r="C198">
        <v>2024</v>
      </c>
      <c r="D198">
        <v>4</v>
      </c>
      <c r="E198">
        <v>11</v>
      </c>
      <c r="F198">
        <v>31</v>
      </c>
      <c r="G198" s="2" t="s">
        <v>127</v>
      </c>
      <c r="H198" s="2" t="s">
        <v>69</v>
      </c>
      <c r="I198" s="2" t="s">
        <v>54</v>
      </c>
      <c r="J198" s="2" t="s">
        <v>20</v>
      </c>
      <c r="K198" s="2" t="s">
        <v>71</v>
      </c>
      <c r="L198">
        <v>6</v>
      </c>
      <c r="M198">
        <v>1163.99</v>
      </c>
      <c r="N198">
        <v>6983.9400000000005</v>
      </c>
      <c r="O198" t="s">
        <v>29</v>
      </c>
      <c r="P198" s="2" t="s">
        <v>23</v>
      </c>
      <c r="Q198" s="2" t="s">
        <v>24</v>
      </c>
    </row>
    <row r="199" spans="1:17" hidden="1" x14ac:dyDescent="0.3">
      <c r="A199">
        <v>202401063</v>
      </c>
      <c r="B199" s="1">
        <v>45645</v>
      </c>
      <c r="C199">
        <v>2024</v>
      </c>
      <c r="D199">
        <v>4</v>
      </c>
      <c r="E199">
        <v>12</v>
      </c>
      <c r="F199">
        <v>7</v>
      </c>
      <c r="G199" s="2" t="s">
        <v>25</v>
      </c>
      <c r="H199" s="2" t="s">
        <v>26</v>
      </c>
      <c r="I199" s="2" t="s">
        <v>27</v>
      </c>
      <c r="J199" s="2" t="s">
        <v>20</v>
      </c>
      <c r="K199" s="2" t="s">
        <v>42</v>
      </c>
      <c r="L199">
        <v>6</v>
      </c>
      <c r="M199">
        <v>525.74</v>
      </c>
      <c r="N199">
        <v>3154.44</v>
      </c>
      <c r="O199" t="s">
        <v>29</v>
      </c>
      <c r="P199" s="2" t="s">
        <v>43</v>
      </c>
      <c r="Q199" s="2" t="s">
        <v>31</v>
      </c>
    </row>
    <row r="200" spans="1:17" hidden="1" x14ac:dyDescent="0.3">
      <c r="A200">
        <v>202400248</v>
      </c>
      <c r="B200" s="1">
        <v>45605</v>
      </c>
      <c r="C200">
        <v>2024</v>
      </c>
      <c r="D200">
        <v>4</v>
      </c>
      <c r="E200">
        <v>11</v>
      </c>
      <c r="F200">
        <v>11</v>
      </c>
      <c r="G200" s="2" t="s">
        <v>66</v>
      </c>
      <c r="H200" s="2" t="s">
        <v>18</v>
      </c>
      <c r="I200" s="2" t="s">
        <v>67</v>
      </c>
      <c r="J200" s="2" t="s">
        <v>20</v>
      </c>
      <c r="K200" s="2" t="s">
        <v>35</v>
      </c>
      <c r="L200">
        <v>9</v>
      </c>
      <c r="M200">
        <v>952.67</v>
      </c>
      <c r="N200">
        <v>8574.0299999999988</v>
      </c>
      <c r="O200" t="s">
        <v>29</v>
      </c>
      <c r="P200" s="2" t="s">
        <v>23</v>
      </c>
      <c r="Q200" s="2" t="s">
        <v>24</v>
      </c>
    </row>
    <row r="201" spans="1:17" hidden="1" x14ac:dyDescent="0.3">
      <c r="A201">
        <v>202400328</v>
      </c>
      <c r="B201" s="1">
        <v>45440</v>
      </c>
      <c r="C201">
        <v>2024</v>
      </c>
      <c r="D201">
        <v>2</v>
      </c>
      <c r="E201">
        <v>5</v>
      </c>
      <c r="F201">
        <v>8</v>
      </c>
      <c r="G201" s="2" t="s">
        <v>63</v>
      </c>
      <c r="H201" s="2" t="s">
        <v>26</v>
      </c>
      <c r="I201" s="2" t="s">
        <v>54</v>
      </c>
      <c r="J201" s="2" t="s">
        <v>20</v>
      </c>
      <c r="K201" s="2" t="s">
        <v>70</v>
      </c>
      <c r="L201">
        <v>8</v>
      </c>
      <c r="M201">
        <v>569.79</v>
      </c>
      <c r="N201">
        <v>4558.32</v>
      </c>
      <c r="O201" t="s">
        <v>29</v>
      </c>
      <c r="P201" s="2" t="s">
        <v>43</v>
      </c>
      <c r="Q201" s="2" t="s">
        <v>40</v>
      </c>
    </row>
    <row r="202" spans="1:17" hidden="1" x14ac:dyDescent="0.3">
      <c r="A202">
        <v>202400708</v>
      </c>
      <c r="B202" s="1">
        <v>45458</v>
      </c>
      <c r="C202">
        <v>2024</v>
      </c>
      <c r="D202">
        <v>2</v>
      </c>
      <c r="E202">
        <v>6</v>
      </c>
      <c r="F202">
        <v>1</v>
      </c>
      <c r="G202" s="2" t="s">
        <v>17</v>
      </c>
      <c r="H202" s="2" t="s">
        <v>26</v>
      </c>
      <c r="I202" s="2" t="s">
        <v>78</v>
      </c>
      <c r="J202" s="2" t="s">
        <v>75</v>
      </c>
      <c r="K202" s="2" t="s">
        <v>21</v>
      </c>
      <c r="L202">
        <v>3</v>
      </c>
      <c r="M202">
        <v>922.6</v>
      </c>
      <c r="N202">
        <v>2767.8</v>
      </c>
      <c r="O202" t="s">
        <v>29</v>
      </c>
      <c r="P202" s="2" t="s">
        <v>48</v>
      </c>
      <c r="Q202" s="2" t="s">
        <v>45</v>
      </c>
    </row>
    <row r="203" spans="1:17" hidden="1" x14ac:dyDescent="0.3">
      <c r="A203">
        <v>202400381</v>
      </c>
      <c r="B203" s="1">
        <v>45526</v>
      </c>
      <c r="C203">
        <v>2024</v>
      </c>
      <c r="D203">
        <v>3</v>
      </c>
      <c r="E203">
        <v>8</v>
      </c>
      <c r="F203">
        <v>56</v>
      </c>
      <c r="G203" s="2" t="s">
        <v>130</v>
      </c>
      <c r="H203" s="2" t="s">
        <v>26</v>
      </c>
      <c r="I203" s="2" t="s">
        <v>56</v>
      </c>
      <c r="J203" s="2" t="s">
        <v>57</v>
      </c>
      <c r="K203" s="2" t="s">
        <v>60</v>
      </c>
      <c r="L203">
        <v>12</v>
      </c>
      <c r="M203">
        <v>843.23</v>
      </c>
      <c r="N203">
        <v>10118.76</v>
      </c>
      <c r="O203" t="s">
        <v>22</v>
      </c>
      <c r="P203" s="2" t="s">
        <v>23</v>
      </c>
      <c r="Q203" s="2" t="s">
        <v>41</v>
      </c>
    </row>
    <row r="204" spans="1:17" x14ac:dyDescent="0.3">
      <c r="A204">
        <v>202400089</v>
      </c>
      <c r="B204" s="1">
        <v>45337</v>
      </c>
      <c r="C204">
        <v>2024</v>
      </c>
      <c r="D204">
        <v>1</v>
      </c>
      <c r="E204">
        <v>2</v>
      </c>
      <c r="F204">
        <v>79</v>
      </c>
      <c r="G204" s="2" t="s">
        <v>108</v>
      </c>
      <c r="H204" s="2" t="s">
        <v>69</v>
      </c>
      <c r="I204" s="2" t="s">
        <v>85</v>
      </c>
      <c r="J204" s="2" t="s">
        <v>57</v>
      </c>
      <c r="K204" s="2" t="s">
        <v>58</v>
      </c>
      <c r="L204">
        <v>9</v>
      </c>
      <c r="M204">
        <v>989.8</v>
      </c>
      <c r="N204">
        <v>8908.1999999999989</v>
      </c>
      <c r="O204" t="s">
        <v>29</v>
      </c>
      <c r="P204" s="2" t="s">
        <v>30</v>
      </c>
      <c r="Q204" s="2" t="s">
        <v>41</v>
      </c>
    </row>
    <row r="205" spans="1:17" hidden="1" x14ac:dyDescent="0.3">
      <c r="A205">
        <v>202400554</v>
      </c>
      <c r="B205" s="1">
        <v>45440</v>
      </c>
      <c r="C205">
        <v>2024</v>
      </c>
      <c r="D205">
        <v>2</v>
      </c>
      <c r="E205">
        <v>5</v>
      </c>
      <c r="F205">
        <v>5</v>
      </c>
      <c r="G205" s="2" t="s">
        <v>121</v>
      </c>
      <c r="H205" s="2" t="s">
        <v>62</v>
      </c>
      <c r="I205" s="2" t="s">
        <v>27</v>
      </c>
      <c r="J205" s="2" t="s">
        <v>20</v>
      </c>
      <c r="K205" s="2" t="s">
        <v>35</v>
      </c>
      <c r="L205">
        <v>2</v>
      </c>
      <c r="M205">
        <v>1819.18</v>
      </c>
      <c r="N205">
        <v>3638.36</v>
      </c>
      <c r="O205" t="s">
        <v>36</v>
      </c>
      <c r="P205" s="2" t="s">
        <v>43</v>
      </c>
      <c r="Q205" s="2" t="s">
        <v>31</v>
      </c>
    </row>
    <row r="206" spans="1:17" x14ac:dyDescent="0.3">
      <c r="A206">
        <v>202400979</v>
      </c>
      <c r="B206" s="1">
        <v>45370</v>
      </c>
      <c r="C206">
        <v>2024</v>
      </c>
      <c r="D206">
        <v>1</v>
      </c>
      <c r="E206">
        <v>3</v>
      </c>
      <c r="F206">
        <v>53</v>
      </c>
      <c r="G206" s="2" t="s">
        <v>113</v>
      </c>
      <c r="H206" s="2" t="s">
        <v>26</v>
      </c>
      <c r="I206" s="2" t="s">
        <v>27</v>
      </c>
      <c r="J206" s="2" t="s">
        <v>20</v>
      </c>
      <c r="K206" s="2" t="s">
        <v>50</v>
      </c>
      <c r="L206">
        <v>7</v>
      </c>
      <c r="M206">
        <v>130.27000000000001</v>
      </c>
      <c r="N206">
        <v>911.8900000000001</v>
      </c>
      <c r="O206" t="s">
        <v>29</v>
      </c>
      <c r="P206" s="2" t="s">
        <v>43</v>
      </c>
      <c r="Q206" s="2" t="s">
        <v>40</v>
      </c>
    </row>
    <row r="207" spans="1:17" hidden="1" x14ac:dyDescent="0.3">
      <c r="A207">
        <v>202400870</v>
      </c>
      <c r="B207" s="1">
        <v>45591</v>
      </c>
      <c r="C207">
        <v>2024</v>
      </c>
      <c r="D207">
        <v>4</v>
      </c>
      <c r="E207">
        <v>10</v>
      </c>
      <c r="F207">
        <v>59</v>
      </c>
      <c r="G207" s="2" t="s">
        <v>73</v>
      </c>
      <c r="H207" s="2" t="s">
        <v>62</v>
      </c>
      <c r="I207" s="2" t="s">
        <v>74</v>
      </c>
      <c r="J207" s="2" t="s">
        <v>75</v>
      </c>
      <c r="K207" s="2" t="s">
        <v>39</v>
      </c>
      <c r="L207">
        <v>14</v>
      </c>
      <c r="M207">
        <v>1140.9000000000001</v>
      </c>
      <c r="N207">
        <v>15972.600000000002</v>
      </c>
      <c r="O207" t="s">
        <v>22</v>
      </c>
      <c r="P207" s="2" t="s">
        <v>43</v>
      </c>
      <c r="Q207" s="2" t="s">
        <v>24</v>
      </c>
    </row>
    <row r="208" spans="1:17" hidden="1" x14ac:dyDescent="0.3">
      <c r="A208">
        <v>202401051</v>
      </c>
      <c r="B208" s="1">
        <v>45492</v>
      </c>
      <c r="C208">
        <v>2024</v>
      </c>
      <c r="D208">
        <v>3</v>
      </c>
      <c r="E208">
        <v>7</v>
      </c>
      <c r="F208">
        <v>45</v>
      </c>
      <c r="G208" s="2" t="s">
        <v>103</v>
      </c>
      <c r="H208" s="2" t="s">
        <v>26</v>
      </c>
      <c r="I208" s="2" t="s">
        <v>56</v>
      </c>
      <c r="J208" s="2" t="s">
        <v>57</v>
      </c>
      <c r="K208" s="2" t="s">
        <v>28</v>
      </c>
      <c r="L208">
        <v>12</v>
      </c>
      <c r="M208">
        <v>18.13</v>
      </c>
      <c r="N208">
        <v>217.56</v>
      </c>
      <c r="O208" t="s">
        <v>22</v>
      </c>
      <c r="P208" s="2" t="s">
        <v>43</v>
      </c>
      <c r="Q208" s="2" t="s">
        <v>40</v>
      </c>
    </row>
    <row r="209" spans="1:17" x14ac:dyDescent="0.3">
      <c r="A209">
        <v>202400320</v>
      </c>
      <c r="B209" s="1">
        <v>45300</v>
      </c>
      <c r="C209">
        <v>2024</v>
      </c>
      <c r="D209">
        <v>1</v>
      </c>
      <c r="E209">
        <v>1</v>
      </c>
      <c r="F209">
        <v>16</v>
      </c>
      <c r="G209" s="2" t="s">
        <v>91</v>
      </c>
      <c r="H209" s="2" t="s">
        <v>18</v>
      </c>
      <c r="I209" s="2" t="s">
        <v>65</v>
      </c>
      <c r="J209" s="2" t="s">
        <v>34</v>
      </c>
      <c r="K209" s="2" t="s">
        <v>59</v>
      </c>
      <c r="L209">
        <v>8</v>
      </c>
      <c r="M209">
        <v>1472.59</v>
      </c>
      <c r="N209">
        <v>11780.72</v>
      </c>
      <c r="O209" t="s">
        <v>29</v>
      </c>
      <c r="P209" s="2" t="s">
        <v>23</v>
      </c>
      <c r="Q209" s="2" t="s">
        <v>40</v>
      </c>
    </row>
    <row r="210" spans="1:17" x14ac:dyDescent="0.3">
      <c r="A210">
        <v>202400482</v>
      </c>
      <c r="B210" s="1">
        <v>45325</v>
      </c>
      <c r="C210">
        <v>2024</v>
      </c>
      <c r="D210">
        <v>1</v>
      </c>
      <c r="E210">
        <v>2</v>
      </c>
      <c r="F210">
        <v>79</v>
      </c>
      <c r="G210" s="2" t="s">
        <v>108</v>
      </c>
      <c r="H210" s="2" t="s">
        <v>69</v>
      </c>
      <c r="I210" s="2" t="s">
        <v>85</v>
      </c>
      <c r="J210" s="2" t="s">
        <v>57</v>
      </c>
      <c r="K210" s="2" t="s">
        <v>52</v>
      </c>
      <c r="L210">
        <v>10</v>
      </c>
      <c r="M210">
        <v>48.54</v>
      </c>
      <c r="N210">
        <v>485.4</v>
      </c>
      <c r="O210" t="s">
        <v>22</v>
      </c>
      <c r="P210" s="2" t="s">
        <v>30</v>
      </c>
      <c r="Q210" s="2" t="s">
        <v>24</v>
      </c>
    </row>
    <row r="211" spans="1:17" x14ac:dyDescent="0.3">
      <c r="A211">
        <v>202400630</v>
      </c>
      <c r="B211" s="1">
        <v>45375</v>
      </c>
      <c r="C211">
        <v>2024</v>
      </c>
      <c r="D211">
        <v>1</v>
      </c>
      <c r="E211">
        <v>3</v>
      </c>
      <c r="F211">
        <v>49</v>
      </c>
      <c r="G211" s="2" t="s">
        <v>83</v>
      </c>
      <c r="H211" s="2" t="s">
        <v>69</v>
      </c>
      <c r="I211" s="2" t="s">
        <v>56</v>
      </c>
      <c r="J211" s="2" t="s">
        <v>57</v>
      </c>
      <c r="K211" s="2" t="s">
        <v>39</v>
      </c>
      <c r="L211">
        <v>12</v>
      </c>
      <c r="M211">
        <v>1881.08</v>
      </c>
      <c r="N211">
        <v>22572.959999999999</v>
      </c>
      <c r="O211" t="s">
        <v>22</v>
      </c>
      <c r="P211" s="2" t="s">
        <v>43</v>
      </c>
      <c r="Q211" s="2" t="s">
        <v>40</v>
      </c>
    </row>
    <row r="212" spans="1:17" x14ac:dyDescent="0.3">
      <c r="A212">
        <v>202400585</v>
      </c>
      <c r="B212" s="1">
        <v>45356</v>
      </c>
      <c r="C212">
        <v>2024</v>
      </c>
      <c r="D212">
        <v>1</v>
      </c>
      <c r="E212">
        <v>3</v>
      </c>
      <c r="F212">
        <v>25</v>
      </c>
      <c r="G212" s="2" t="s">
        <v>117</v>
      </c>
      <c r="H212" s="2" t="s">
        <v>26</v>
      </c>
      <c r="I212" s="2" t="s">
        <v>27</v>
      </c>
      <c r="J212" s="2" t="s">
        <v>20</v>
      </c>
      <c r="K212" s="2" t="s">
        <v>35</v>
      </c>
      <c r="L212">
        <v>3</v>
      </c>
      <c r="M212">
        <v>219.65</v>
      </c>
      <c r="N212">
        <v>658.95</v>
      </c>
      <c r="O212" t="s">
        <v>29</v>
      </c>
      <c r="P212" s="2" t="s">
        <v>48</v>
      </c>
      <c r="Q212" s="2" t="s">
        <v>24</v>
      </c>
    </row>
    <row r="213" spans="1:17" hidden="1" x14ac:dyDescent="0.3">
      <c r="A213">
        <v>202400353</v>
      </c>
      <c r="B213" s="1">
        <v>45440</v>
      </c>
      <c r="C213">
        <v>2024</v>
      </c>
      <c r="D213">
        <v>2</v>
      </c>
      <c r="E213">
        <v>5</v>
      </c>
      <c r="F213">
        <v>73</v>
      </c>
      <c r="G213" s="2" t="s">
        <v>111</v>
      </c>
      <c r="H213" s="2" t="s">
        <v>26</v>
      </c>
      <c r="I213" s="2" t="s">
        <v>27</v>
      </c>
      <c r="J213" s="2" t="s">
        <v>20</v>
      </c>
      <c r="K213" s="2" t="s">
        <v>47</v>
      </c>
      <c r="L213">
        <v>11</v>
      </c>
      <c r="M213">
        <v>142.86000000000001</v>
      </c>
      <c r="N213">
        <v>1571.46</v>
      </c>
      <c r="O213" t="s">
        <v>22</v>
      </c>
      <c r="P213" s="2" t="s">
        <v>43</v>
      </c>
      <c r="Q213" s="2" t="s">
        <v>45</v>
      </c>
    </row>
    <row r="214" spans="1:17" hidden="1" x14ac:dyDescent="0.3">
      <c r="A214">
        <v>202400603</v>
      </c>
      <c r="B214" s="1">
        <v>45516</v>
      </c>
      <c r="C214">
        <v>2024</v>
      </c>
      <c r="D214">
        <v>3</v>
      </c>
      <c r="E214">
        <v>8</v>
      </c>
      <c r="F214">
        <v>8</v>
      </c>
      <c r="G214" s="2" t="s">
        <v>63</v>
      </c>
      <c r="H214" s="2" t="s">
        <v>26</v>
      </c>
      <c r="I214" s="2" t="s">
        <v>54</v>
      </c>
      <c r="J214" s="2" t="s">
        <v>20</v>
      </c>
      <c r="K214" s="2" t="s">
        <v>59</v>
      </c>
      <c r="L214">
        <v>6</v>
      </c>
      <c r="M214">
        <v>516.74</v>
      </c>
      <c r="N214">
        <v>3100.44</v>
      </c>
      <c r="O214" t="s">
        <v>29</v>
      </c>
      <c r="P214" s="2" t="s">
        <v>43</v>
      </c>
      <c r="Q214" s="2" t="s">
        <v>24</v>
      </c>
    </row>
    <row r="215" spans="1:17" hidden="1" x14ac:dyDescent="0.3">
      <c r="A215">
        <v>202400615</v>
      </c>
      <c r="B215" s="1">
        <v>45598</v>
      </c>
      <c r="C215">
        <v>2024</v>
      </c>
      <c r="D215">
        <v>4</v>
      </c>
      <c r="E215">
        <v>11</v>
      </c>
      <c r="F215">
        <v>43</v>
      </c>
      <c r="G215" s="2" t="s">
        <v>100</v>
      </c>
      <c r="H215" s="2" t="s">
        <v>69</v>
      </c>
      <c r="I215" s="2" t="s">
        <v>54</v>
      </c>
      <c r="J215" s="2" t="s">
        <v>20</v>
      </c>
      <c r="K215" s="2" t="s">
        <v>39</v>
      </c>
      <c r="L215">
        <v>5</v>
      </c>
      <c r="M215">
        <v>1391.8</v>
      </c>
      <c r="N215">
        <v>6959</v>
      </c>
      <c r="O215" t="s">
        <v>29</v>
      </c>
      <c r="P215" s="2" t="s">
        <v>30</v>
      </c>
      <c r="Q215" s="2" t="s">
        <v>24</v>
      </c>
    </row>
    <row r="216" spans="1:17" hidden="1" x14ac:dyDescent="0.3">
      <c r="A216">
        <v>202400359</v>
      </c>
      <c r="B216" s="1">
        <v>45572</v>
      </c>
      <c r="C216">
        <v>2024</v>
      </c>
      <c r="D216">
        <v>4</v>
      </c>
      <c r="E216">
        <v>10</v>
      </c>
      <c r="F216">
        <v>58</v>
      </c>
      <c r="G216" s="2" t="s">
        <v>68</v>
      </c>
      <c r="H216" s="2" t="s">
        <v>69</v>
      </c>
      <c r="I216" s="2" t="s">
        <v>85</v>
      </c>
      <c r="J216" s="2" t="s">
        <v>57</v>
      </c>
      <c r="K216" s="2" t="s">
        <v>21</v>
      </c>
      <c r="L216">
        <v>8</v>
      </c>
      <c r="M216">
        <v>320.62</v>
      </c>
      <c r="N216">
        <v>2564.96</v>
      </c>
      <c r="O216" t="s">
        <v>29</v>
      </c>
      <c r="P216" s="2" t="s">
        <v>30</v>
      </c>
      <c r="Q216" s="2" t="s">
        <v>24</v>
      </c>
    </row>
    <row r="217" spans="1:17" hidden="1" x14ac:dyDescent="0.3">
      <c r="A217">
        <v>202400530</v>
      </c>
      <c r="B217" s="1">
        <v>45438</v>
      </c>
      <c r="C217">
        <v>2024</v>
      </c>
      <c r="D217">
        <v>2</v>
      </c>
      <c r="E217">
        <v>5</v>
      </c>
      <c r="F217">
        <v>53</v>
      </c>
      <c r="G217" s="2" t="s">
        <v>113</v>
      </c>
      <c r="H217" s="2" t="s">
        <v>26</v>
      </c>
      <c r="I217" s="2" t="s">
        <v>27</v>
      </c>
      <c r="J217" s="2" t="s">
        <v>20</v>
      </c>
      <c r="K217" s="2" t="s">
        <v>21</v>
      </c>
      <c r="L217">
        <v>7</v>
      </c>
      <c r="M217">
        <v>1157.6500000000001</v>
      </c>
      <c r="N217">
        <v>8103.5500000000011</v>
      </c>
      <c r="O217" t="s">
        <v>29</v>
      </c>
      <c r="P217" s="2" t="s">
        <v>43</v>
      </c>
      <c r="Q217" s="2" t="s">
        <v>40</v>
      </c>
    </row>
    <row r="218" spans="1:17" hidden="1" x14ac:dyDescent="0.3">
      <c r="A218">
        <v>202400011</v>
      </c>
      <c r="B218" s="1">
        <v>45491</v>
      </c>
      <c r="C218">
        <v>2024</v>
      </c>
      <c r="D218">
        <v>3</v>
      </c>
      <c r="E218">
        <v>7</v>
      </c>
      <c r="F218">
        <v>67</v>
      </c>
      <c r="G218" s="2" t="s">
        <v>124</v>
      </c>
      <c r="H218" s="2" t="s">
        <v>69</v>
      </c>
      <c r="I218" s="2" t="s">
        <v>54</v>
      </c>
      <c r="J218" s="2" t="s">
        <v>20</v>
      </c>
      <c r="K218" s="2" t="s">
        <v>71</v>
      </c>
      <c r="L218">
        <v>7</v>
      </c>
      <c r="M218">
        <v>1157.8699999999999</v>
      </c>
      <c r="N218">
        <v>8105.0899999999992</v>
      </c>
      <c r="O218" t="s">
        <v>29</v>
      </c>
      <c r="P218" s="2" t="s">
        <v>43</v>
      </c>
      <c r="Q218" s="2" t="s">
        <v>41</v>
      </c>
    </row>
    <row r="219" spans="1:17" hidden="1" x14ac:dyDescent="0.3">
      <c r="A219">
        <v>202400597</v>
      </c>
      <c r="B219" s="1">
        <v>45490</v>
      </c>
      <c r="C219">
        <v>2024</v>
      </c>
      <c r="D219">
        <v>3</v>
      </c>
      <c r="E219">
        <v>7</v>
      </c>
      <c r="F219">
        <v>22</v>
      </c>
      <c r="G219" s="2" t="s">
        <v>79</v>
      </c>
      <c r="H219" s="2" t="s">
        <v>18</v>
      </c>
      <c r="I219" s="2" t="s">
        <v>65</v>
      </c>
      <c r="J219" s="2" t="s">
        <v>34</v>
      </c>
      <c r="K219" s="2" t="s">
        <v>51</v>
      </c>
      <c r="L219">
        <v>12</v>
      </c>
      <c r="M219">
        <v>472.38</v>
      </c>
      <c r="N219">
        <v>5668.5599999999995</v>
      </c>
      <c r="O219" t="s">
        <v>22</v>
      </c>
      <c r="P219" s="2" t="s">
        <v>48</v>
      </c>
      <c r="Q219" s="2" t="s">
        <v>24</v>
      </c>
    </row>
    <row r="220" spans="1:17" hidden="1" x14ac:dyDescent="0.3">
      <c r="A220">
        <v>202400414</v>
      </c>
      <c r="B220" s="1">
        <v>45638</v>
      </c>
      <c r="C220">
        <v>2024</v>
      </c>
      <c r="D220">
        <v>4</v>
      </c>
      <c r="E220">
        <v>12</v>
      </c>
      <c r="F220">
        <v>14</v>
      </c>
      <c r="G220" s="2" t="s">
        <v>106</v>
      </c>
      <c r="H220" s="2" t="s">
        <v>26</v>
      </c>
      <c r="I220" s="2" t="s">
        <v>54</v>
      </c>
      <c r="J220" s="2" t="s">
        <v>20</v>
      </c>
      <c r="K220" s="2" t="s">
        <v>70</v>
      </c>
      <c r="L220">
        <v>13</v>
      </c>
      <c r="M220">
        <v>1315.07</v>
      </c>
      <c r="N220">
        <v>17095.91</v>
      </c>
      <c r="O220" t="s">
        <v>22</v>
      </c>
      <c r="P220" s="2" t="s">
        <v>43</v>
      </c>
      <c r="Q220" s="2" t="s">
        <v>24</v>
      </c>
    </row>
    <row r="221" spans="1:17" hidden="1" x14ac:dyDescent="0.3">
      <c r="A221">
        <v>202400436</v>
      </c>
      <c r="B221" s="1">
        <v>45546</v>
      </c>
      <c r="C221">
        <v>2024</v>
      </c>
      <c r="D221">
        <v>3</v>
      </c>
      <c r="E221">
        <v>9</v>
      </c>
      <c r="F221">
        <v>19</v>
      </c>
      <c r="G221" s="2" t="s">
        <v>122</v>
      </c>
      <c r="H221" s="2" t="s">
        <v>26</v>
      </c>
      <c r="I221" s="2" t="s">
        <v>38</v>
      </c>
      <c r="J221" s="2" t="s">
        <v>20</v>
      </c>
      <c r="K221" s="2" t="s">
        <v>97</v>
      </c>
      <c r="L221">
        <v>1</v>
      </c>
      <c r="M221">
        <v>952.54</v>
      </c>
      <c r="N221">
        <v>952.54</v>
      </c>
      <c r="O221" t="s">
        <v>36</v>
      </c>
      <c r="P221" s="2" t="s">
        <v>23</v>
      </c>
      <c r="Q221" s="2" t="s">
        <v>24</v>
      </c>
    </row>
    <row r="222" spans="1:17" hidden="1" x14ac:dyDescent="0.3">
      <c r="A222">
        <v>202400060</v>
      </c>
      <c r="B222" s="1">
        <v>45489</v>
      </c>
      <c r="C222">
        <v>2024</v>
      </c>
      <c r="D222">
        <v>3</v>
      </c>
      <c r="E222">
        <v>7</v>
      </c>
      <c r="F222">
        <v>31</v>
      </c>
      <c r="G222" s="2" t="s">
        <v>127</v>
      </c>
      <c r="H222" s="2" t="s">
        <v>69</v>
      </c>
      <c r="I222" s="2" t="s">
        <v>54</v>
      </c>
      <c r="J222" s="2" t="s">
        <v>20</v>
      </c>
      <c r="K222" s="2" t="s">
        <v>39</v>
      </c>
      <c r="L222">
        <v>11</v>
      </c>
      <c r="M222">
        <v>1270.94</v>
      </c>
      <c r="N222">
        <v>13980.34</v>
      </c>
      <c r="O222" t="s">
        <v>22</v>
      </c>
      <c r="P222" s="2" t="s">
        <v>48</v>
      </c>
      <c r="Q222" s="2" t="s">
        <v>40</v>
      </c>
    </row>
    <row r="223" spans="1:17" hidden="1" x14ac:dyDescent="0.3">
      <c r="A223">
        <v>202400311</v>
      </c>
      <c r="B223" s="1">
        <v>45584</v>
      </c>
      <c r="C223">
        <v>2024</v>
      </c>
      <c r="D223">
        <v>4</v>
      </c>
      <c r="E223">
        <v>10</v>
      </c>
      <c r="F223">
        <v>55</v>
      </c>
      <c r="G223" s="2" t="s">
        <v>87</v>
      </c>
      <c r="H223" s="2" t="s">
        <v>69</v>
      </c>
      <c r="I223" s="2" t="s">
        <v>85</v>
      </c>
      <c r="J223" s="2" t="s">
        <v>57</v>
      </c>
      <c r="K223" s="2" t="s">
        <v>70</v>
      </c>
      <c r="L223">
        <v>13</v>
      </c>
      <c r="M223">
        <v>1592.06</v>
      </c>
      <c r="N223">
        <v>20696.78</v>
      </c>
      <c r="O223" t="s">
        <v>22</v>
      </c>
      <c r="P223" s="2" t="s">
        <v>30</v>
      </c>
      <c r="Q223" s="2" t="s">
        <v>24</v>
      </c>
    </row>
    <row r="224" spans="1:17" x14ac:dyDescent="0.3">
      <c r="A224">
        <v>202400064</v>
      </c>
      <c r="B224" s="1">
        <v>45327</v>
      </c>
      <c r="C224">
        <v>2024</v>
      </c>
      <c r="D224">
        <v>1</v>
      </c>
      <c r="E224">
        <v>2</v>
      </c>
      <c r="F224">
        <v>75</v>
      </c>
      <c r="G224" s="2" t="s">
        <v>84</v>
      </c>
      <c r="H224" s="2" t="s">
        <v>62</v>
      </c>
      <c r="I224" s="2" t="s">
        <v>85</v>
      </c>
      <c r="J224" s="2" t="s">
        <v>57</v>
      </c>
      <c r="K224" s="2" t="s">
        <v>58</v>
      </c>
      <c r="L224">
        <v>8</v>
      </c>
      <c r="M224">
        <v>1145.82</v>
      </c>
      <c r="N224">
        <v>9166.56</v>
      </c>
      <c r="O224" t="s">
        <v>29</v>
      </c>
      <c r="P224" s="2" t="s">
        <v>48</v>
      </c>
      <c r="Q224" s="2" t="s">
        <v>41</v>
      </c>
    </row>
    <row r="225" spans="1:17" x14ac:dyDescent="0.3">
      <c r="A225">
        <v>202400299</v>
      </c>
      <c r="B225" s="1">
        <v>45339</v>
      </c>
      <c r="C225">
        <v>2024</v>
      </c>
      <c r="D225">
        <v>1</v>
      </c>
      <c r="E225">
        <v>2</v>
      </c>
      <c r="F225">
        <v>26</v>
      </c>
      <c r="G225" s="2" t="s">
        <v>89</v>
      </c>
      <c r="H225" s="2" t="s">
        <v>62</v>
      </c>
      <c r="I225" s="2" t="s">
        <v>67</v>
      </c>
      <c r="J225" s="2" t="s">
        <v>20</v>
      </c>
      <c r="K225" s="2" t="s">
        <v>70</v>
      </c>
      <c r="L225">
        <v>2</v>
      </c>
      <c r="M225">
        <v>1429.89</v>
      </c>
      <c r="N225">
        <v>2859.78</v>
      </c>
      <c r="O225" t="s">
        <v>36</v>
      </c>
      <c r="P225" s="2" t="s">
        <v>48</v>
      </c>
      <c r="Q225" s="2" t="s">
        <v>41</v>
      </c>
    </row>
    <row r="226" spans="1:17" x14ac:dyDescent="0.3">
      <c r="A226">
        <v>202400351</v>
      </c>
      <c r="B226" s="1">
        <v>45352</v>
      </c>
      <c r="C226">
        <v>2024</v>
      </c>
      <c r="D226">
        <v>1</v>
      </c>
      <c r="E226">
        <v>3</v>
      </c>
      <c r="F226">
        <v>78</v>
      </c>
      <c r="G226" s="2" t="s">
        <v>131</v>
      </c>
      <c r="H226" s="2" t="s">
        <v>69</v>
      </c>
      <c r="I226" s="2" t="s">
        <v>19</v>
      </c>
      <c r="J226" s="2" t="s">
        <v>20</v>
      </c>
      <c r="K226" s="2" t="s">
        <v>97</v>
      </c>
      <c r="L226">
        <v>13</v>
      </c>
      <c r="M226">
        <v>1207.97</v>
      </c>
      <c r="N226">
        <v>15703.61</v>
      </c>
      <c r="O226" t="s">
        <v>22</v>
      </c>
      <c r="P226" s="2" t="s">
        <v>43</v>
      </c>
      <c r="Q226" s="2" t="s">
        <v>40</v>
      </c>
    </row>
    <row r="227" spans="1:17" hidden="1" x14ac:dyDescent="0.3">
      <c r="A227">
        <v>202400717</v>
      </c>
      <c r="B227" s="1">
        <v>45487</v>
      </c>
      <c r="C227">
        <v>2024</v>
      </c>
      <c r="D227">
        <v>3</v>
      </c>
      <c r="E227">
        <v>7</v>
      </c>
      <c r="F227">
        <v>28</v>
      </c>
      <c r="G227" s="2" t="s">
        <v>114</v>
      </c>
      <c r="H227" s="2" t="s">
        <v>62</v>
      </c>
      <c r="I227" s="2" t="s">
        <v>33</v>
      </c>
      <c r="J227" s="2" t="s">
        <v>34</v>
      </c>
      <c r="K227" s="2" t="s">
        <v>35</v>
      </c>
      <c r="L227">
        <v>13</v>
      </c>
      <c r="M227">
        <v>477.82</v>
      </c>
      <c r="N227">
        <v>6211.66</v>
      </c>
      <c r="O227" t="s">
        <v>22</v>
      </c>
      <c r="P227" s="2" t="s">
        <v>43</v>
      </c>
      <c r="Q227" s="2" t="s">
        <v>41</v>
      </c>
    </row>
    <row r="228" spans="1:17" hidden="1" x14ac:dyDescent="0.3">
      <c r="A228">
        <v>202400905</v>
      </c>
      <c r="B228" s="1">
        <v>45481</v>
      </c>
      <c r="C228">
        <v>2024</v>
      </c>
      <c r="D228">
        <v>3</v>
      </c>
      <c r="E228">
        <v>7</v>
      </c>
      <c r="F228">
        <v>48</v>
      </c>
      <c r="G228" s="2" t="s">
        <v>82</v>
      </c>
      <c r="H228" s="2" t="s">
        <v>140</v>
      </c>
      <c r="I228" s="2" t="s">
        <v>78</v>
      </c>
      <c r="J228" s="2" t="s">
        <v>75</v>
      </c>
      <c r="K228" s="2" t="s">
        <v>60</v>
      </c>
      <c r="L228">
        <v>6</v>
      </c>
      <c r="M228">
        <v>1299.26</v>
      </c>
      <c r="N228">
        <v>7795.5599999999995</v>
      </c>
      <c r="O228" t="s">
        <v>29</v>
      </c>
      <c r="P228" s="2" t="s">
        <v>23</v>
      </c>
      <c r="Q228" s="2" t="s">
        <v>24</v>
      </c>
    </row>
    <row r="229" spans="1:17" hidden="1" x14ac:dyDescent="0.3">
      <c r="A229">
        <v>202400674</v>
      </c>
      <c r="B229" s="1">
        <v>45634</v>
      </c>
      <c r="C229">
        <v>2024</v>
      </c>
      <c r="D229">
        <v>4</v>
      </c>
      <c r="E229">
        <v>12</v>
      </c>
      <c r="F229">
        <v>47</v>
      </c>
      <c r="G229" s="2" t="s">
        <v>120</v>
      </c>
      <c r="H229" s="2" t="s">
        <v>140</v>
      </c>
      <c r="I229" s="2" t="s">
        <v>38</v>
      </c>
      <c r="J229" s="2" t="s">
        <v>20</v>
      </c>
      <c r="K229" s="2" t="s">
        <v>52</v>
      </c>
      <c r="L229">
        <v>8</v>
      </c>
      <c r="M229">
        <v>1472.28</v>
      </c>
      <c r="N229">
        <v>11778.24</v>
      </c>
      <c r="O229" t="s">
        <v>29</v>
      </c>
      <c r="P229" s="2" t="s">
        <v>43</v>
      </c>
      <c r="Q229" s="2" t="s">
        <v>31</v>
      </c>
    </row>
    <row r="230" spans="1:17" hidden="1" x14ac:dyDescent="0.3">
      <c r="A230">
        <v>202400709</v>
      </c>
      <c r="B230" s="1">
        <v>45481</v>
      </c>
      <c r="C230">
        <v>2024</v>
      </c>
      <c r="D230">
        <v>3</v>
      </c>
      <c r="E230">
        <v>7</v>
      </c>
      <c r="F230">
        <v>40</v>
      </c>
      <c r="G230" s="2" t="s">
        <v>125</v>
      </c>
      <c r="H230" s="2" t="s">
        <v>69</v>
      </c>
      <c r="I230" s="2" t="s">
        <v>126</v>
      </c>
      <c r="J230" s="2" t="s">
        <v>20</v>
      </c>
      <c r="K230" s="2" t="s">
        <v>51</v>
      </c>
      <c r="L230">
        <v>13</v>
      </c>
      <c r="M230">
        <v>368.2</v>
      </c>
      <c r="N230">
        <v>4786.5999999999995</v>
      </c>
      <c r="O230" t="s">
        <v>22</v>
      </c>
      <c r="P230" s="2" t="s">
        <v>43</v>
      </c>
      <c r="Q230" s="2" t="s">
        <v>24</v>
      </c>
    </row>
    <row r="231" spans="1:17" hidden="1" x14ac:dyDescent="0.3">
      <c r="A231">
        <v>202400368</v>
      </c>
      <c r="B231" s="1">
        <v>45552</v>
      </c>
      <c r="C231">
        <v>2024</v>
      </c>
      <c r="D231">
        <v>3</v>
      </c>
      <c r="E231">
        <v>9</v>
      </c>
      <c r="F231">
        <v>57</v>
      </c>
      <c r="G231" s="2" t="s">
        <v>53</v>
      </c>
      <c r="H231" s="2" t="s">
        <v>18</v>
      </c>
      <c r="I231" s="2" t="s">
        <v>54</v>
      </c>
      <c r="J231" s="2" t="s">
        <v>20</v>
      </c>
      <c r="K231" s="2" t="s">
        <v>47</v>
      </c>
      <c r="L231">
        <v>12</v>
      </c>
      <c r="M231">
        <v>1225.25</v>
      </c>
      <c r="N231">
        <v>14703</v>
      </c>
      <c r="O231" t="s">
        <v>22</v>
      </c>
      <c r="P231" s="2" t="s">
        <v>30</v>
      </c>
      <c r="Q231" s="2" t="s">
        <v>40</v>
      </c>
    </row>
    <row r="232" spans="1:17" hidden="1" x14ac:dyDescent="0.3">
      <c r="A232">
        <v>202400465</v>
      </c>
      <c r="B232" s="1">
        <v>45539</v>
      </c>
      <c r="C232">
        <v>2024</v>
      </c>
      <c r="D232">
        <v>3</v>
      </c>
      <c r="E232">
        <v>9</v>
      </c>
      <c r="F232">
        <v>75</v>
      </c>
      <c r="G232" s="2" t="s">
        <v>84</v>
      </c>
      <c r="H232" s="2" t="s">
        <v>62</v>
      </c>
      <c r="I232" s="2" t="s">
        <v>85</v>
      </c>
      <c r="J232" s="2" t="s">
        <v>57</v>
      </c>
      <c r="K232" s="2" t="s">
        <v>35</v>
      </c>
      <c r="L232">
        <v>12</v>
      </c>
      <c r="M232">
        <v>1264.6400000000001</v>
      </c>
      <c r="N232">
        <v>15175.68</v>
      </c>
      <c r="O232" t="s">
        <v>22</v>
      </c>
      <c r="P232" s="2" t="s">
        <v>48</v>
      </c>
      <c r="Q232" s="2" t="s">
        <v>24</v>
      </c>
    </row>
    <row r="233" spans="1:17" x14ac:dyDescent="0.3">
      <c r="A233">
        <v>202400807</v>
      </c>
      <c r="B233" s="1">
        <v>45349</v>
      </c>
      <c r="C233">
        <v>2024</v>
      </c>
      <c r="D233">
        <v>1</v>
      </c>
      <c r="E233">
        <v>2</v>
      </c>
      <c r="F233">
        <v>30</v>
      </c>
      <c r="G233" s="2" t="s">
        <v>91</v>
      </c>
      <c r="H233" s="2" t="s">
        <v>69</v>
      </c>
      <c r="I233" s="2" t="s">
        <v>65</v>
      </c>
      <c r="J233" s="2" t="s">
        <v>34</v>
      </c>
      <c r="K233" s="2" t="s">
        <v>51</v>
      </c>
      <c r="L233">
        <v>10</v>
      </c>
      <c r="M233">
        <v>1628.32</v>
      </c>
      <c r="N233">
        <v>16283.199999999999</v>
      </c>
      <c r="O233" t="s">
        <v>22</v>
      </c>
      <c r="P233" s="2" t="s">
        <v>43</v>
      </c>
      <c r="Q233" s="2" t="s">
        <v>40</v>
      </c>
    </row>
    <row r="234" spans="1:17" x14ac:dyDescent="0.3">
      <c r="A234">
        <v>202400592</v>
      </c>
      <c r="B234" s="1">
        <v>45300</v>
      </c>
      <c r="C234">
        <v>2024</v>
      </c>
      <c r="D234">
        <v>1</v>
      </c>
      <c r="E234">
        <v>1</v>
      </c>
      <c r="F234">
        <v>66</v>
      </c>
      <c r="G234" s="2" t="s">
        <v>107</v>
      </c>
      <c r="H234" s="2" t="s">
        <v>69</v>
      </c>
      <c r="I234" s="2" t="s">
        <v>78</v>
      </c>
      <c r="J234" s="2" t="s">
        <v>75</v>
      </c>
      <c r="K234" s="2" t="s">
        <v>21</v>
      </c>
      <c r="L234">
        <v>5</v>
      </c>
      <c r="M234">
        <v>1320.56</v>
      </c>
      <c r="N234">
        <v>6602.7999999999993</v>
      </c>
      <c r="O234" t="s">
        <v>29</v>
      </c>
      <c r="P234" s="2" t="s">
        <v>48</v>
      </c>
      <c r="Q234" s="2" t="s">
        <v>24</v>
      </c>
    </row>
    <row r="235" spans="1:17" hidden="1" x14ac:dyDescent="0.3">
      <c r="A235">
        <v>202400362</v>
      </c>
      <c r="B235" s="1">
        <v>45525</v>
      </c>
      <c r="C235">
        <v>2024</v>
      </c>
      <c r="D235">
        <v>3</v>
      </c>
      <c r="E235">
        <v>8</v>
      </c>
      <c r="F235">
        <v>77</v>
      </c>
      <c r="G235" s="2" t="s">
        <v>109</v>
      </c>
      <c r="H235" s="2" t="s">
        <v>140</v>
      </c>
      <c r="I235" s="2" t="s">
        <v>74</v>
      </c>
      <c r="J235" s="2" t="s">
        <v>75</v>
      </c>
      <c r="K235" s="2" t="s">
        <v>42</v>
      </c>
      <c r="L235">
        <v>10</v>
      </c>
      <c r="M235">
        <v>1906.09</v>
      </c>
      <c r="N235">
        <v>19060.899999999998</v>
      </c>
      <c r="O235" t="s">
        <v>22</v>
      </c>
      <c r="P235" s="2" t="s">
        <v>30</v>
      </c>
      <c r="Q235" s="2" t="s">
        <v>24</v>
      </c>
    </row>
    <row r="236" spans="1:17" hidden="1" x14ac:dyDescent="0.3">
      <c r="A236">
        <v>202400267</v>
      </c>
      <c r="B236" s="1">
        <v>45621</v>
      </c>
      <c r="C236">
        <v>2024</v>
      </c>
      <c r="D236">
        <v>4</v>
      </c>
      <c r="E236">
        <v>11</v>
      </c>
      <c r="F236">
        <v>20</v>
      </c>
      <c r="G236" s="2" t="s">
        <v>81</v>
      </c>
      <c r="H236" s="2" t="s">
        <v>69</v>
      </c>
      <c r="I236" s="2" t="s">
        <v>56</v>
      </c>
      <c r="J236" s="2" t="s">
        <v>57</v>
      </c>
      <c r="K236" s="2" t="s">
        <v>70</v>
      </c>
      <c r="L236">
        <v>13</v>
      </c>
      <c r="M236">
        <v>737.98</v>
      </c>
      <c r="N236">
        <v>9593.74</v>
      </c>
      <c r="O236" t="s">
        <v>22</v>
      </c>
      <c r="P236" s="2" t="s">
        <v>43</v>
      </c>
      <c r="Q236" s="2" t="s">
        <v>45</v>
      </c>
    </row>
    <row r="237" spans="1:17" hidden="1" x14ac:dyDescent="0.3">
      <c r="A237">
        <v>202400880</v>
      </c>
      <c r="B237" s="1">
        <v>45511</v>
      </c>
      <c r="C237">
        <v>2024</v>
      </c>
      <c r="D237">
        <v>3</v>
      </c>
      <c r="E237">
        <v>8</v>
      </c>
      <c r="F237">
        <v>68</v>
      </c>
      <c r="G237" s="2" t="s">
        <v>128</v>
      </c>
      <c r="H237" s="2" t="s">
        <v>140</v>
      </c>
      <c r="I237" s="2" t="s">
        <v>85</v>
      </c>
      <c r="J237" s="2" t="s">
        <v>57</v>
      </c>
      <c r="K237" s="2" t="s">
        <v>70</v>
      </c>
      <c r="L237">
        <v>2</v>
      </c>
      <c r="M237">
        <v>31.79</v>
      </c>
      <c r="N237">
        <v>63.58</v>
      </c>
      <c r="O237" t="s">
        <v>36</v>
      </c>
      <c r="P237" s="2" t="s">
        <v>43</v>
      </c>
      <c r="Q237" s="2" t="s">
        <v>40</v>
      </c>
    </row>
    <row r="238" spans="1:17" hidden="1" x14ac:dyDescent="0.3">
      <c r="A238">
        <v>202401135</v>
      </c>
      <c r="B238" s="1">
        <v>45436</v>
      </c>
      <c r="C238">
        <v>2024</v>
      </c>
      <c r="D238">
        <v>2</v>
      </c>
      <c r="E238">
        <v>5</v>
      </c>
      <c r="F238">
        <v>5</v>
      </c>
      <c r="G238" s="2" t="s">
        <v>121</v>
      </c>
      <c r="H238" s="2" t="s">
        <v>62</v>
      </c>
      <c r="I238" s="2" t="s">
        <v>27</v>
      </c>
      <c r="J238" s="2" t="s">
        <v>20</v>
      </c>
      <c r="K238" s="2" t="s">
        <v>52</v>
      </c>
      <c r="L238">
        <v>4</v>
      </c>
      <c r="M238">
        <v>21.81</v>
      </c>
      <c r="N238">
        <v>87.24</v>
      </c>
      <c r="O238" t="s">
        <v>29</v>
      </c>
      <c r="P238" s="2" t="s">
        <v>48</v>
      </c>
      <c r="Q238" s="2" t="s">
        <v>40</v>
      </c>
    </row>
    <row r="239" spans="1:17" x14ac:dyDescent="0.3">
      <c r="A239">
        <v>202401162</v>
      </c>
      <c r="B239" s="1">
        <v>45360</v>
      </c>
      <c r="C239">
        <v>2024</v>
      </c>
      <c r="D239">
        <v>1</v>
      </c>
      <c r="E239">
        <v>3</v>
      </c>
      <c r="F239">
        <v>44</v>
      </c>
      <c r="G239" s="2" t="s">
        <v>129</v>
      </c>
      <c r="H239" s="2" t="s">
        <v>140</v>
      </c>
      <c r="I239" s="2" t="s">
        <v>27</v>
      </c>
      <c r="J239" s="2" t="s">
        <v>20</v>
      </c>
      <c r="K239" s="2" t="s">
        <v>28</v>
      </c>
      <c r="L239">
        <v>9</v>
      </c>
      <c r="M239">
        <v>1863.21</v>
      </c>
      <c r="N239">
        <v>16768.89</v>
      </c>
      <c r="O239" t="s">
        <v>29</v>
      </c>
      <c r="P239" s="2" t="s">
        <v>43</v>
      </c>
      <c r="Q239" s="2" t="s">
        <v>24</v>
      </c>
    </row>
    <row r="240" spans="1:17" hidden="1" x14ac:dyDescent="0.3">
      <c r="A240">
        <v>202401190</v>
      </c>
      <c r="B240" s="1">
        <v>45491</v>
      </c>
      <c r="C240">
        <v>2024</v>
      </c>
      <c r="D240">
        <v>3</v>
      </c>
      <c r="E240">
        <v>7</v>
      </c>
      <c r="F240">
        <v>5</v>
      </c>
      <c r="G240" s="2" t="s">
        <v>121</v>
      </c>
      <c r="H240" s="2" t="s">
        <v>62</v>
      </c>
      <c r="I240" s="2" t="s">
        <v>27</v>
      </c>
      <c r="J240" s="2" t="s">
        <v>20</v>
      </c>
      <c r="K240" s="2" t="s">
        <v>60</v>
      </c>
      <c r="L240">
        <v>1</v>
      </c>
      <c r="M240">
        <v>1830.29</v>
      </c>
      <c r="N240">
        <v>1830.29</v>
      </c>
      <c r="O240" t="s">
        <v>36</v>
      </c>
      <c r="P240" s="2" t="s">
        <v>43</v>
      </c>
      <c r="Q240" s="2" t="s">
        <v>40</v>
      </c>
    </row>
    <row r="241" spans="1:17" hidden="1" x14ac:dyDescent="0.3">
      <c r="A241">
        <v>202400992</v>
      </c>
      <c r="B241" s="1">
        <v>45532</v>
      </c>
      <c r="C241">
        <v>2024</v>
      </c>
      <c r="D241">
        <v>3</v>
      </c>
      <c r="E241">
        <v>8</v>
      </c>
      <c r="F241">
        <v>5</v>
      </c>
      <c r="G241" s="2" t="s">
        <v>121</v>
      </c>
      <c r="H241" s="2" t="s">
        <v>62</v>
      </c>
      <c r="I241" s="2" t="s">
        <v>27</v>
      </c>
      <c r="J241" s="2" t="s">
        <v>20</v>
      </c>
      <c r="K241" s="2" t="s">
        <v>71</v>
      </c>
      <c r="L241">
        <v>14</v>
      </c>
      <c r="M241">
        <v>157.38</v>
      </c>
      <c r="N241">
        <v>2203.3199999999997</v>
      </c>
      <c r="O241" t="s">
        <v>22</v>
      </c>
      <c r="P241" s="2" t="s">
        <v>23</v>
      </c>
      <c r="Q241" s="2" t="s">
        <v>24</v>
      </c>
    </row>
    <row r="242" spans="1:17" x14ac:dyDescent="0.3">
      <c r="A242">
        <v>202400576</v>
      </c>
      <c r="B242" s="1">
        <v>45340</v>
      </c>
      <c r="C242">
        <v>2024</v>
      </c>
      <c r="D242">
        <v>1</v>
      </c>
      <c r="E242">
        <v>2</v>
      </c>
      <c r="F242">
        <v>51</v>
      </c>
      <c r="G242" s="2" t="s">
        <v>132</v>
      </c>
      <c r="H242" s="2" t="s">
        <v>62</v>
      </c>
      <c r="I242" s="2" t="s">
        <v>78</v>
      </c>
      <c r="J242" s="2" t="s">
        <v>75</v>
      </c>
      <c r="K242" s="2" t="s">
        <v>71</v>
      </c>
      <c r="L242">
        <v>14</v>
      </c>
      <c r="M242">
        <v>1848.67</v>
      </c>
      <c r="N242">
        <v>25881.38</v>
      </c>
      <c r="O242" t="s">
        <v>22</v>
      </c>
      <c r="P242" s="2" t="s">
        <v>43</v>
      </c>
      <c r="Q242" s="2" t="s">
        <v>24</v>
      </c>
    </row>
    <row r="243" spans="1:17" hidden="1" x14ac:dyDescent="0.3">
      <c r="A243">
        <v>202400755</v>
      </c>
      <c r="B243" s="1">
        <v>45583</v>
      </c>
      <c r="C243">
        <v>2024</v>
      </c>
      <c r="D243">
        <v>4</v>
      </c>
      <c r="E243">
        <v>10</v>
      </c>
      <c r="F243">
        <v>12</v>
      </c>
      <c r="G243" s="2" t="s">
        <v>119</v>
      </c>
      <c r="H243" s="2" t="s">
        <v>26</v>
      </c>
      <c r="I243" s="2" t="s">
        <v>67</v>
      </c>
      <c r="J243" s="2" t="s">
        <v>20</v>
      </c>
      <c r="K243" s="2" t="s">
        <v>58</v>
      </c>
      <c r="L243">
        <v>14</v>
      </c>
      <c r="M243">
        <v>1006.24</v>
      </c>
      <c r="N243">
        <v>14087.36</v>
      </c>
      <c r="O243" t="s">
        <v>22</v>
      </c>
      <c r="P243" s="2" t="s">
        <v>48</v>
      </c>
      <c r="Q243" s="2" t="s">
        <v>24</v>
      </c>
    </row>
    <row r="244" spans="1:17" hidden="1" x14ac:dyDescent="0.3">
      <c r="A244">
        <v>202401128</v>
      </c>
      <c r="B244" s="1">
        <v>45443</v>
      </c>
      <c r="C244">
        <v>2024</v>
      </c>
      <c r="D244">
        <v>2</v>
      </c>
      <c r="E244">
        <v>5</v>
      </c>
      <c r="F244">
        <v>60</v>
      </c>
      <c r="G244" s="2" t="s">
        <v>101</v>
      </c>
      <c r="H244" s="2" t="s">
        <v>62</v>
      </c>
      <c r="I244" s="2" t="s">
        <v>54</v>
      </c>
      <c r="J244" s="2" t="s">
        <v>20</v>
      </c>
      <c r="K244" s="2" t="s">
        <v>28</v>
      </c>
      <c r="L244">
        <v>9</v>
      </c>
      <c r="M244">
        <v>409.3</v>
      </c>
      <c r="N244">
        <v>3683.7000000000003</v>
      </c>
      <c r="O244" t="s">
        <v>29</v>
      </c>
      <c r="P244" s="2" t="s">
        <v>43</v>
      </c>
      <c r="Q244" s="2" t="s">
        <v>24</v>
      </c>
    </row>
    <row r="245" spans="1:17" x14ac:dyDescent="0.3">
      <c r="A245">
        <v>202400988</v>
      </c>
      <c r="B245" s="1">
        <v>45332</v>
      </c>
      <c r="C245">
        <v>2024</v>
      </c>
      <c r="D245">
        <v>1</v>
      </c>
      <c r="E245">
        <v>2</v>
      </c>
      <c r="F245">
        <v>4</v>
      </c>
      <c r="G245" s="2" t="s">
        <v>110</v>
      </c>
      <c r="H245" s="2" t="s">
        <v>69</v>
      </c>
      <c r="I245" s="2" t="s">
        <v>78</v>
      </c>
      <c r="J245" s="2" t="s">
        <v>75</v>
      </c>
      <c r="K245" s="2" t="s">
        <v>52</v>
      </c>
      <c r="L245">
        <v>5</v>
      </c>
      <c r="M245">
        <v>465.4</v>
      </c>
      <c r="N245">
        <v>2327</v>
      </c>
      <c r="O245" t="s">
        <v>29</v>
      </c>
      <c r="P245" s="2" t="s">
        <v>43</v>
      </c>
      <c r="Q245" s="2" t="s">
        <v>24</v>
      </c>
    </row>
    <row r="246" spans="1:17" hidden="1" x14ac:dyDescent="0.3">
      <c r="A246">
        <v>202400271</v>
      </c>
      <c r="B246" s="1">
        <v>45468</v>
      </c>
      <c r="C246">
        <v>2024</v>
      </c>
      <c r="D246">
        <v>2</v>
      </c>
      <c r="E246">
        <v>6</v>
      </c>
      <c r="F246">
        <v>57</v>
      </c>
      <c r="G246" s="2" t="s">
        <v>53</v>
      </c>
      <c r="H246" s="2" t="s">
        <v>18</v>
      </c>
      <c r="I246" s="2" t="s">
        <v>54</v>
      </c>
      <c r="J246" s="2" t="s">
        <v>20</v>
      </c>
      <c r="K246" s="2" t="s">
        <v>71</v>
      </c>
      <c r="L246">
        <v>12</v>
      </c>
      <c r="M246">
        <v>901.92</v>
      </c>
      <c r="N246">
        <v>10823.039999999999</v>
      </c>
      <c r="O246" t="s">
        <v>22</v>
      </c>
      <c r="P246" s="2" t="s">
        <v>23</v>
      </c>
      <c r="Q246" s="2" t="s">
        <v>31</v>
      </c>
    </row>
    <row r="247" spans="1:17" hidden="1" x14ac:dyDescent="0.3">
      <c r="A247">
        <v>202401068</v>
      </c>
      <c r="B247" s="1">
        <v>45635</v>
      </c>
      <c r="C247">
        <v>2024</v>
      </c>
      <c r="D247">
        <v>4</v>
      </c>
      <c r="E247">
        <v>12</v>
      </c>
      <c r="F247">
        <v>4</v>
      </c>
      <c r="G247" s="2" t="s">
        <v>110</v>
      </c>
      <c r="H247" s="2" t="s">
        <v>69</v>
      </c>
      <c r="I247" s="2" t="s">
        <v>78</v>
      </c>
      <c r="J247" s="2" t="s">
        <v>75</v>
      </c>
      <c r="K247" s="2" t="s">
        <v>97</v>
      </c>
      <c r="L247">
        <v>2</v>
      </c>
      <c r="M247">
        <v>564.13</v>
      </c>
      <c r="N247">
        <v>1128.26</v>
      </c>
      <c r="O247" t="s">
        <v>36</v>
      </c>
      <c r="P247" s="2" t="s">
        <v>43</v>
      </c>
      <c r="Q247" s="2" t="s">
        <v>40</v>
      </c>
    </row>
    <row r="248" spans="1:17" hidden="1" x14ac:dyDescent="0.3">
      <c r="A248">
        <v>202400084</v>
      </c>
      <c r="B248" s="1">
        <v>45428</v>
      </c>
      <c r="C248">
        <v>2024</v>
      </c>
      <c r="D248">
        <v>2</v>
      </c>
      <c r="E248">
        <v>5</v>
      </c>
      <c r="F248">
        <v>20</v>
      </c>
      <c r="G248" s="2" t="s">
        <v>81</v>
      </c>
      <c r="H248" s="2" t="s">
        <v>69</v>
      </c>
      <c r="I248" s="2" t="s">
        <v>56</v>
      </c>
      <c r="J248" s="2" t="s">
        <v>57</v>
      </c>
      <c r="K248" s="2" t="s">
        <v>47</v>
      </c>
      <c r="L248">
        <v>10</v>
      </c>
      <c r="M248">
        <v>520.84</v>
      </c>
      <c r="N248">
        <v>5208.4000000000005</v>
      </c>
      <c r="O248" t="s">
        <v>22</v>
      </c>
      <c r="P248" s="2" t="s">
        <v>48</v>
      </c>
      <c r="Q248" s="2" t="s">
        <v>40</v>
      </c>
    </row>
    <row r="249" spans="1:17" hidden="1" x14ac:dyDescent="0.3">
      <c r="A249">
        <v>202400130</v>
      </c>
      <c r="B249" s="1">
        <v>45490</v>
      </c>
      <c r="C249">
        <v>2024</v>
      </c>
      <c r="D249">
        <v>3</v>
      </c>
      <c r="E249">
        <v>7</v>
      </c>
      <c r="F249">
        <v>42</v>
      </c>
      <c r="G249" s="2" t="s">
        <v>46</v>
      </c>
      <c r="H249" s="2" t="s">
        <v>26</v>
      </c>
      <c r="I249" s="2" t="s">
        <v>38</v>
      </c>
      <c r="J249" s="2" t="s">
        <v>20</v>
      </c>
      <c r="K249" s="2" t="s">
        <v>28</v>
      </c>
      <c r="L249">
        <v>4</v>
      </c>
      <c r="M249">
        <v>1267.82</v>
      </c>
      <c r="N249">
        <v>5071.28</v>
      </c>
      <c r="O249" t="s">
        <v>29</v>
      </c>
      <c r="P249" s="2" t="s">
        <v>30</v>
      </c>
      <c r="Q249" s="2" t="s">
        <v>24</v>
      </c>
    </row>
    <row r="250" spans="1:17" hidden="1" x14ac:dyDescent="0.3">
      <c r="A250">
        <v>202400637</v>
      </c>
      <c r="B250" s="1">
        <v>45506</v>
      </c>
      <c r="C250">
        <v>2024</v>
      </c>
      <c r="D250">
        <v>3</v>
      </c>
      <c r="E250">
        <v>8</v>
      </c>
      <c r="F250">
        <v>66</v>
      </c>
      <c r="G250" s="2" t="s">
        <v>107</v>
      </c>
      <c r="H250" s="2" t="s">
        <v>69</v>
      </c>
      <c r="I250" s="2" t="s">
        <v>78</v>
      </c>
      <c r="J250" s="2" t="s">
        <v>75</v>
      </c>
      <c r="K250" s="2" t="s">
        <v>39</v>
      </c>
      <c r="L250">
        <v>12</v>
      </c>
      <c r="M250">
        <v>776.3</v>
      </c>
      <c r="N250">
        <v>9315.5999999999985</v>
      </c>
      <c r="O250" t="s">
        <v>22</v>
      </c>
      <c r="P250" s="2" t="s">
        <v>30</v>
      </c>
      <c r="Q250" s="2" t="s">
        <v>40</v>
      </c>
    </row>
    <row r="251" spans="1:17" hidden="1" x14ac:dyDescent="0.3">
      <c r="A251">
        <v>202400908</v>
      </c>
      <c r="B251" s="1">
        <v>45559</v>
      </c>
      <c r="C251">
        <v>2024</v>
      </c>
      <c r="D251">
        <v>3</v>
      </c>
      <c r="E251">
        <v>9</v>
      </c>
      <c r="F251">
        <v>56</v>
      </c>
      <c r="G251" s="2" t="s">
        <v>130</v>
      </c>
      <c r="H251" s="2" t="s">
        <v>26</v>
      </c>
      <c r="I251" s="2" t="s">
        <v>56</v>
      </c>
      <c r="J251" s="2" t="s">
        <v>57</v>
      </c>
      <c r="K251" s="2" t="s">
        <v>50</v>
      </c>
      <c r="L251">
        <v>8</v>
      </c>
      <c r="M251">
        <v>789.6</v>
      </c>
      <c r="N251">
        <v>6316.8</v>
      </c>
      <c r="O251" t="s">
        <v>29</v>
      </c>
      <c r="P251" s="2" t="s">
        <v>23</v>
      </c>
      <c r="Q251" s="2" t="s">
        <v>24</v>
      </c>
    </row>
    <row r="252" spans="1:17" hidden="1" x14ac:dyDescent="0.3">
      <c r="A252">
        <v>202400917</v>
      </c>
      <c r="B252" s="1">
        <v>45446</v>
      </c>
      <c r="C252">
        <v>2024</v>
      </c>
      <c r="D252">
        <v>2</v>
      </c>
      <c r="E252">
        <v>6</v>
      </c>
      <c r="F252">
        <v>51</v>
      </c>
      <c r="G252" s="2" t="s">
        <v>132</v>
      </c>
      <c r="H252" s="2" t="s">
        <v>62</v>
      </c>
      <c r="I252" s="2" t="s">
        <v>78</v>
      </c>
      <c r="J252" s="2" t="s">
        <v>75</v>
      </c>
      <c r="K252" s="2" t="s">
        <v>58</v>
      </c>
      <c r="L252">
        <v>11</v>
      </c>
      <c r="M252">
        <v>589.35</v>
      </c>
      <c r="N252">
        <v>6482.85</v>
      </c>
      <c r="O252" t="s">
        <v>22</v>
      </c>
      <c r="P252" s="2" t="s">
        <v>23</v>
      </c>
      <c r="Q252" s="2" t="s">
        <v>40</v>
      </c>
    </row>
    <row r="253" spans="1:17" hidden="1" x14ac:dyDescent="0.3">
      <c r="A253">
        <v>202400448</v>
      </c>
      <c r="B253" s="1">
        <v>45396</v>
      </c>
      <c r="C253">
        <v>2024</v>
      </c>
      <c r="D253">
        <v>2</v>
      </c>
      <c r="E253">
        <v>4</v>
      </c>
      <c r="F253">
        <v>36</v>
      </c>
      <c r="G253" s="2" t="s">
        <v>123</v>
      </c>
      <c r="H253" s="2" t="s">
        <v>62</v>
      </c>
      <c r="I253" s="2" t="s">
        <v>54</v>
      </c>
      <c r="J253" s="2" t="s">
        <v>20</v>
      </c>
      <c r="K253" s="2" t="s">
        <v>47</v>
      </c>
      <c r="L253">
        <v>7</v>
      </c>
      <c r="M253">
        <v>794.15</v>
      </c>
      <c r="N253">
        <v>5559.05</v>
      </c>
      <c r="O253" t="s">
        <v>29</v>
      </c>
      <c r="P253" s="2" t="s">
        <v>23</v>
      </c>
      <c r="Q253" s="2" t="s">
        <v>24</v>
      </c>
    </row>
    <row r="254" spans="1:17" hidden="1" x14ac:dyDescent="0.3">
      <c r="A254">
        <v>202400261</v>
      </c>
      <c r="B254" s="1">
        <v>45434</v>
      </c>
      <c r="C254">
        <v>2024</v>
      </c>
      <c r="D254">
        <v>2</v>
      </c>
      <c r="E254">
        <v>5</v>
      </c>
      <c r="F254">
        <v>48</v>
      </c>
      <c r="G254" s="2" t="s">
        <v>82</v>
      </c>
      <c r="H254" s="2" t="s">
        <v>140</v>
      </c>
      <c r="I254" s="2" t="s">
        <v>78</v>
      </c>
      <c r="J254" s="2" t="s">
        <v>75</v>
      </c>
      <c r="K254" s="2" t="s">
        <v>35</v>
      </c>
      <c r="L254">
        <v>7</v>
      </c>
      <c r="M254">
        <v>1736.97</v>
      </c>
      <c r="N254">
        <v>12158.79</v>
      </c>
      <c r="O254" t="s">
        <v>29</v>
      </c>
      <c r="P254" s="2" t="s">
        <v>23</v>
      </c>
      <c r="Q254" s="2" t="s">
        <v>24</v>
      </c>
    </row>
    <row r="255" spans="1:17" hidden="1" x14ac:dyDescent="0.3">
      <c r="A255">
        <v>202400756</v>
      </c>
      <c r="B255" s="1">
        <v>45402</v>
      </c>
      <c r="C255">
        <v>2024</v>
      </c>
      <c r="D255">
        <v>2</v>
      </c>
      <c r="E255">
        <v>4</v>
      </c>
      <c r="F255">
        <v>59</v>
      </c>
      <c r="G255" s="2" t="s">
        <v>73</v>
      </c>
      <c r="H255" s="2" t="s">
        <v>62</v>
      </c>
      <c r="I255" s="2" t="s">
        <v>74</v>
      </c>
      <c r="J255" s="2" t="s">
        <v>75</v>
      </c>
      <c r="K255" s="2" t="s">
        <v>71</v>
      </c>
      <c r="L255">
        <v>12</v>
      </c>
      <c r="M255">
        <v>1526.61</v>
      </c>
      <c r="N255">
        <v>18319.32</v>
      </c>
      <c r="O255" t="s">
        <v>22</v>
      </c>
      <c r="P255" s="2" t="s">
        <v>48</v>
      </c>
      <c r="Q255" s="2" t="s">
        <v>24</v>
      </c>
    </row>
    <row r="256" spans="1:17" hidden="1" x14ac:dyDescent="0.3">
      <c r="A256">
        <v>202401079</v>
      </c>
      <c r="B256" s="1">
        <v>45408</v>
      </c>
      <c r="C256">
        <v>2024</v>
      </c>
      <c r="D256">
        <v>2</v>
      </c>
      <c r="E256">
        <v>4</v>
      </c>
      <c r="F256">
        <v>24</v>
      </c>
      <c r="G256" s="2" t="s">
        <v>17</v>
      </c>
      <c r="H256" s="2" t="s">
        <v>26</v>
      </c>
      <c r="I256" s="2" t="s">
        <v>56</v>
      </c>
      <c r="J256" s="2" t="s">
        <v>57</v>
      </c>
      <c r="K256" s="2" t="s">
        <v>28</v>
      </c>
      <c r="L256">
        <v>6</v>
      </c>
      <c r="M256">
        <v>1028.93</v>
      </c>
      <c r="N256">
        <v>6173.58</v>
      </c>
      <c r="O256" t="s">
        <v>29</v>
      </c>
      <c r="P256" s="2" t="s">
        <v>43</v>
      </c>
      <c r="Q256" s="2" t="s">
        <v>40</v>
      </c>
    </row>
    <row r="257" spans="1:17" hidden="1" x14ac:dyDescent="0.3">
      <c r="A257">
        <v>202400895</v>
      </c>
      <c r="B257" s="1">
        <v>45401</v>
      </c>
      <c r="C257">
        <v>2024</v>
      </c>
      <c r="D257">
        <v>2</v>
      </c>
      <c r="E257">
        <v>4</v>
      </c>
      <c r="F257">
        <v>69</v>
      </c>
      <c r="G257" s="2" t="s">
        <v>98</v>
      </c>
      <c r="H257" s="2" t="s">
        <v>62</v>
      </c>
      <c r="I257" s="2" t="s">
        <v>67</v>
      </c>
      <c r="J257" s="2" t="s">
        <v>20</v>
      </c>
      <c r="K257" s="2" t="s">
        <v>42</v>
      </c>
      <c r="L257">
        <v>9</v>
      </c>
      <c r="M257">
        <v>345.18</v>
      </c>
      <c r="N257">
        <v>3106.62</v>
      </c>
      <c r="O257" t="s">
        <v>29</v>
      </c>
      <c r="P257" s="2" t="s">
        <v>48</v>
      </c>
      <c r="Q257" s="2" t="s">
        <v>24</v>
      </c>
    </row>
    <row r="258" spans="1:17" hidden="1" x14ac:dyDescent="0.3">
      <c r="A258">
        <v>202400498</v>
      </c>
      <c r="B258" s="1">
        <v>45524</v>
      </c>
      <c r="C258">
        <v>2024</v>
      </c>
      <c r="D258">
        <v>3</v>
      </c>
      <c r="E258">
        <v>8</v>
      </c>
      <c r="F258">
        <v>1</v>
      </c>
      <c r="G258" s="2" t="s">
        <v>17</v>
      </c>
      <c r="H258" s="2" t="s">
        <v>26</v>
      </c>
      <c r="I258" s="2" t="s">
        <v>78</v>
      </c>
      <c r="J258" s="2" t="s">
        <v>75</v>
      </c>
      <c r="K258" s="2" t="s">
        <v>58</v>
      </c>
      <c r="L258">
        <v>6</v>
      </c>
      <c r="M258">
        <v>1339.66</v>
      </c>
      <c r="N258">
        <v>8037.9600000000009</v>
      </c>
      <c r="O258" t="s">
        <v>29</v>
      </c>
      <c r="P258" s="2" t="s">
        <v>43</v>
      </c>
      <c r="Q258" s="2" t="s">
        <v>24</v>
      </c>
    </row>
    <row r="259" spans="1:17" x14ac:dyDescent="0.3">
      <c r="A259">
        <v>202400139</v>
      </c>
      <c r="B259" s="1">
        <v>45377</v>
      </c>
      <c r="C259">
        <v>2024</v>
      </c>
      <c r="D259">
        <v>1</v>
      </c>
      <c r="E259">
        <v>3</v>
      </c>
      <c r="F259">
        <v>21</v>
      </c>
      <c r="G259" s="2" t="s">
        <v>53</v>
      </c>
      <c r="H259" s="2" t="s">
        <v>26</v>
      </c>
      <c r="I259" s="2" t="s">
        <v>78</v>
      </c>
      <c r="J259" s="2" t="s">
        <v>75</v>
      </c>
      <c r="K259" s="2" t="s">
        <v>52</v>
      </c>
      <c r="L259">
        <v>4</v>
      </c>
      <c r="M259">
        <v>399.37</v>
      </c>
      <c r="N259">
        <v>1597.48</v>
      </c>
      <c r="O259" t="s">
        <v>29</v>
      </c>
      <c r="P259" s="2" t="s">
        <v>30</v>
      </c>
      <c r="Q259" s="2" t="s">
        <v>24</v>
      </c>
    </row>
    <row r="260" spans="1:17" hidden="1" x14ac:dyDescent="0.3">
      <c r="A260">
        <v>202400942</v>
      </c>
      <c r="B260" s="1">
        <v>45628</v>
      </c>
      <c r="C260">
        <v>2024</v>
      </c>
      <c r="D260">
        <v>4</v>
      </c>
      <c r="E260">
        <v>12</v>
      </c>
      <c r="F260">
        <v>45</v>
      </c>
      <c r="G260" s="2" t="s">
        <v>103</v>
      </c>
      <c r="H260" s="2" t="s">
        <v>26</v>
      </c>
      <c r="I260" s="2" t="s">
        <v>56</v>
      </c>
      <c r="J260" s="2" t="s">
        <v>57</v>
      </c>
      <c r="K260" s="2" t="s">
        <v>59</v>
      </c>
      <c r="L260">
        <v>10</v>
      </c>
      <c r="M260">
        <v>256.85000000000002</v>
      </c>
      <c r="N260">
        <v>2568.5</v>
      </c>
      <c r="O260" t="s">
        <v>22</v>
      </c>
      <c r="P260" s="2" t="s">
        <v>43</v>
      </c>
      <c r="Q260" s="2" t="s">
        <v>31</v>
      </c>
    </row>
    <row r="261" spans="1:17" hidden="1" x14ac:dyDescent="0.3">
      <c r="A261">
        <v>202400142</v>
      </c>
      <c r="B261" s="1">
        <v>45558</v>
      </c>
      <c r="C261">
        <v>2024</v>
      </c>
      <c r="D261">
        <v>3</v>
      </c>
      <c r="E261">
        <v>9</v>
      </c>
      <c r="F261">
        <v>28</v>
      </c>
      <c r="G261" s="2" t="s">
        <v>114</v>
      </c>
      <c r="H261" s="2" t="s">
        <v>62</v>
      </c>
      <c r="I261" s="2" t="s">
        <v>33</v>
      </c>
      <c r="J261" s="2" t="s">
        <v>34</v>
      </c>
      <c r="K261" s="2" t="s">
        <v>52</v>
      </c>
      <c r="L261">
        <v>12</v>
      </c>
      <c r="M261">
        <v>393.36</v>
      </c>
      <c r="N261">
        <v>4720.32</v>
      </c>
      <c r="O261" t="s">
        <v>22</v>
      </c>
      <c r="P261" s="2" t="s">
        <v>43</v>
      </c>
      <c r="Q261" s="2" t="s">
        <v>24</v>
      </c>
    </row>
    <row r="262" spans="1:17" hidden="1" x14ac:dyDescent="0.3">
      <c r="A262">
        <v>202400559</v>
      </c>
      <c r="B262" s="1">
        <v>45506</v>
      </c>
      <c r="C262">
        <v>2024</v>
      </c>
      <c r="D262">
        <v>3</v>
      </c>
      <c r="E262">
        <v>8</v>
      </c>
      <c r="F262">
        <v>65</v>
      </c>
      <c r="G262" s="2" t="s">
        <v>112</v>
      </c>
      <c r="H262" s="2" t="s">
        <v>69</v>
      </c>
      <c r="I262" s="2" t="s">
        <v>19</v>
      </c>
      <c r="J262" s="2" t="s">
        <v>20</v>
      </c>
      <c r="K262" s="2" t="s">
        <v>47</v>
      </c>
      <c r="L262">
        <v>5</v>
      </c>
      <c r="M262">
        <v>1622.4</v>
      </c>
      <c r="N262">
        <v>8112</v>
      </c>
      <c r="O262" t="s">
        <v>29</v>
      </c>
      <c r="P262" s="2" t="s">
        <v>23</v>
      </c>
      <c r="Q262" s="2" t="s">
        <v>24</v>
      </c>
    </row>
    <row r="263" spans="1:17" hidden="1" x14ac:dyDescent="0.3">
      <c r="A263">
        <v>202400823</v>
      </c>
      <c r="B263" s="1">
        <v>45426</v>
      </c>
      <c r="C263">
        <v>2024</v>
      </c>
      <c r="D263">
        <v>2</v>
      </c>
      <c r="E263">
        <v>5</v>
      </c>
      <c r="F263">
        <v>25</v>
      </c>
      <c r="G263" s="2" t="s">
        <v>117</v>
      </c>
      <c r="H263" s="2" t="s">
        <v>26</v>
      </c>
      <c r="I263" s="2" t="s">
        <v>27</v>
      </c>
      <c r="J263" s="2" t="s">
        <v>20</v>
      </c>
      <c r="K263" s="2" t="s">
        <v>39</v>
      </c>
      <c r="L263">
        <v>13</v>
      </c>
      <c r="M263">
        <v>623.22</v>
      </c>
      <c r="N263">
        <v>8101.8600000000006</v>
      </c>
      <c r="O263" t="s">
        <v>22</v>
      </c>
      <c r="P263" s="2" t="s">
        <v>48</v>
      </c>
      <c r="Q263" s="2" t="s">
        <v>24</v>
      </c>
    </row>
    <row r="264" spans="1:17" x14ac:dyDescent="0.3">
      <c r="A264">
        <v>202400421</v>
      </c>
      <c r="B264" s="1">
        <v>45330</v>
      </c>
      <c r="C264">
        <v>2024</v>
      </c>
      <c r="D264">
        <v>1</v>
      </c>
      <c r="E264">
        <v>2</v>
      </c>
      <c r="F264">
        <v>3</v>
      </c>
      <c r="G264" s="2" t="s">
        <v>44</v>
      </c>
      <c r="H264" s="2" t="s">
        <v>26</v>
      </c>
      <c r="I264" s="2" t="s">
        <v>38</v>
      </c>
      <c r="J264" s="2" t="s">
        <v>20</v>
      </c>
      <c r="K264" s="2" t="s">
        <v>51</v>
      </c>
      <c r="L264">
        <v>11</v>
      </c>
      <c r="M264">
        <v>1387.33</v>
      </c>
      <c r="N264">
        <v>15260.63</v>
      </c>
      <c r="O264" t="s">
        <v>22</v>
      </c>
      <c r="P264" s="2" t="s">
        <v>43</v>
      </c>
      <c r="Q264" s="2" t="s">
        <v>24</v>
      </c>
    </row>
    <row r="265" spans="1:17" x14ac:dyDescent="0.3">
      <c r="A265">
        <v>202400140</v>
      </c>
      <c r="B265" s="1">
        <v>45315</v>
      </c>
      <c r="C265">
        <v>2024</v>
      </c>
      <c r="D265">
        <v>1</v>
      </c>
      <c r="E265">
        <v>1</v>
      </c>
      <c r="F265">
        <v>31</v>
      </c>
      <c r="G265" s="2" t="s">
        <v>127</v>
      </c>
      <c r="H265" s="2" t="s">
        <v>69</v>
      </c>
      <c r="I265" s="2" t="s">
        <v>54</v>
      </c>
      <c r="J265" s="2" t="s">
        <v>20</v>
      </c>
      <c r="K265" s="2" t="s">
        <v>59</v>
      </c>
      <c r="L265">
        <v>3</v>
      </c>
      <c r="M265">
        <v>332.43</v>
      </c>
      <c r="N265">
        <v>997.29</v>
      </c>
      <c r="O265" t="s">
        <v>29</v>
      </c>
      <c r="P265" s="2" t="s">
        <v>43</v>
      </c>
      <c r="Q265" s="2" t="s">
        <v>24</v>
      </c>
    </row>
    <row r="266" spans="1:17" hidden="1" x14ac:dyDescent="0.3">
      <c r="A266">
        <v>202400939</v>
      </c>
      <c r="B266" s="1">
        <v>45451</v>
      </c>
      <c r="C266">
        <v>2024</v>
      </c>
      <c r="D266">
        <v>2</v>
      </c>
      <c r="E266">
        <v>6</v>
      </c>
      <c r="F266">
        <v>10</v>
      </c>
      <c r="G266" s="2" t="s">
        <v>17</v>
      </c>
      <c r="H266" s="2" t="s">
        <v>18</v>
      </c>
      <c r="I266" s="2" t="s">
        <v>19</v>
      </c>
      <c r="J266" s="2" t="s">
        <v>20</v>
      </c>
      <c r="K266" s="2" t="s">
        <v>21</v>
      </c>
      <c r="L266">
        <v>8</v>
      </c>
      <c r="M266">
        <v>1177.5899999999999</v>
      </c>
      <c r="N266">
        <v>9420.7199999999993</v>
      </c>
      <c r="O266" t="s">
        <v>29</v>
      </c>
      <c r="P266" s="2" t="s">
        <v>48</v>
      </c>
      <c r="Q266" s="2" t="s">
        <v>49</v>
      </c>
    </row>
    <row r="267" spans="1:17" x14ac:dyDescent="0.3">
      <c r="A267">
        <v>202401113</v>
      </c>
      <c r="B267" s="1">
        <v>45297</v>
      </c>
      <c r="C267">
        <v>2024</v>
      </c>
      <c r="D267">
        <v>1</v>
      </c>
      <c r="E267">
        <v>1</v>
      </c>
      <c r="F267">
        <v>40</v>
      </c>
      <c r="G267" s="2" t="s">
        <v>125</v>
      </c>
      <c r="H267" s="2" t="s">
        <v>69</v>
      </c>
      <c r="I267" s="2" t="s">
        <v>126</v>
      </c>
      <c r="J267" s="2" t="s">
        <v>20</v>
      </c>
      <c r="K267" s="2" t="s">
        <v>39</v>
      </c>
      <c r="L267">
        <v>4</v>
      </c>
      <c r="M267">
        <v>1007.81</v>
      </c>
      <c r="N267">
        <v>4031.24</v>
      </c>
      <c r="O267" t="s">
        <v>29</v>
      </c>
      <c r="P267" s="2" t="s">
        <v>43</v>
      </c>
      <c r="Q267" s="2" t="s">
        <v>31</v>
      </c>
    </row>
    <row r="268" spans="1:17" x14ac:dyDescent="0.3">
      <c r="A268">
        <v>202400225</v>
      </c>
      <c r="B268" s="1">
        <v>45305</v>
      </c>
      <c r="C268">
        <v>2024</v>
      </c>
      <c r="D268">
        <v>1</v>
      </c>
      <c r="E268">
        <v>1</v>
      </c>
      <c r="F268">
        <v>39</v>
      </c>
      <c r="G268" s="2" t="s">
        <v>98</v>
      </c>
      <c r="H268" s="2" t="s">
        <v>18</v>
      </c>
      <c r="I268" s="2" t="s">
        <v>19</v>
      </c>
      <c r="J268" s="2" t="s">
        <v>20</v>
      </c>
      <c r="K268" s="2" t="s">
        <v>70</v>
      </c>
      <c r="L268">
        <v>3</v>
      </c>
      <c r="M268">
        <v>1587.61</v>
      </c>
      <c r="N268">
        <v>4762.83</v>
      </c>
      <c r="O268" t="s">
        <v>29</v>
      </c>
      <c r="P268" s="2" t="s">
        <v>30</v>
      </c>
      <c r="Q268" s="2" t="s">
        <v>24</v>
      </c>
    </row>
    <row r="269" spans="1:17" hidden="1" x14ac:dyDescent="0.3">
      <c r="A269">
        <v>202400290</v>
      </c>
      <c r="B269" s="1">
        <v>45562</v>
      </c>
      <c r="C269">
        <v>2024</v>
      </c>
      <c r="D269">
        <v>3</v>
      </c>
      <c r="E269">
        <v>9</v>
      </c>
      <c r="F269">
        <v>37</v>
      </c>
      <c r="G269" s="2" t="s">
        <v>96</v>
      </c>
      <c r="H269" s="2" t="s">
        <v>62</v>
      </c>
      <c r="I269" s="2" t="s">
        <v>56</v>
      </c>
      <c r="J269" s="2" t="s">
        <v>57</v>
      </c>
      <c r="K269" s="2" t="s">
        <v>35</v>
      </c>
      <c r="L269">
        <v>14</v>
      </c>
      <c r="M269">
        <v>1924.57</v>
      </c>
      <c r="N269">
        <v>26943.98</v>
      </c>
      <c r="O269" t="s">
        <v>22</v>
      </c>
      <c r="P269" s="2" t="s">
        <v>48</v>
      </c>
      <c r="Q269" s="2" t="s">
        <v>40</v>
      </c>
    </row>
    <row r="270" spans="1:17" hidden="1" x14ac:dyDescent="0.3">
      <c r="A270">
        <v>202400425</v>
      </c>
      <c r="B270" s="1">
        <v>45560</v>
      </c>
      <c r="C270">
        <v>2024</v>
      </c>
      <c r="D270">
        <v>3</v>
      </c>
      <c r="E270">
        <v>9</v>
      </c>
      <c r="F270">
        <v>46</v>
      </c>
      <c r="G270" s="2" t="s">
        <v>88</v>
      </c>
      <c r="H270" s="2" t="s">
        <v>26</v>
      </c>
      <c r="I270" s="2" t="s">
        <v>85</v>
      </c>
      <c r="J270" s="2" t="s">
        <v>57</v>
      </c>
      <c r="K270" s="2" t="s">
        <v>52</v>
      </c>
      <c r="L270">
        <v>5</v>
      </c>
      <c r="M270">
        <v>513.89</v>
      </c>
      <c r="N270">
        <v>2569.4499999999998</v>
      </c>
      <c r="O270" t="s">
        <v>29</v>
      </c>
      <c r="P270" s="2" t="s">
        <v>23</v>
      </c>
      <c r="Q270" s="2" t="s">
        <v>41</v>
      </c>
    </row>
    <row r="271" spans="1:17" hidden="1" x14ac:dyDescent="0.3">
      <c r="A271">
        <v>202400645</v>
      </c>
      <c r="B271" s="1">
        <v>45561</v>
      </c>
      <c r="C271">
        <v>2024</v>
      </c>
      <c r="D271">
        <v>3</v>
      </c>
      <c r="E271">
        <v>9</v>
      </c>
      <c r="F271">
        <v>77</v>
      </c>
      <c r="G271" s="2" t="s">
        <v>109</v>
      </c>
      <c r="H271" s="2" t="s">
        <v>140</v>
      </c>
      <c r="I271" s="2" t="s">
        <v>74</v>
      </c>
      <c r="J271" s="2" t="s">
        <v>75</v>
      </c>
      <c r="K271" s="2" t="s">
        <v>50</v>
      </c>
      <c r="L271">
        <v>9</v>
      </c>
      <c r="M271">
        <v>742.45</v>
      </c>
      <c r="N271">
        <v>6682.05</v>
      </c>
      <c r="O271" t="s">
        <v>29</v>
      </c>
      <c r="P271" s="2" t="s">
        <v>30</v>
      </c>
      <c r="Q271" s="2" t="s">
        <v>41</v>
      </c>
    </row>
    <row r="272" spans="1:17" x14ac:dyDescent="0.3">
      <c r="A272">
        <v>202400377</v>
      </c>
      <c r="B272" s="1">
        <v>45315</v>
      </c>
      <c r="C272">
        <v>2024</v>
      </c>
      <c r="D272">
        <v>1</v>
      </c>
      <c r="E272">
        <v>1</v>
      </c>
      <c r="F272">
        <v>27</v>
      </c>
      <c r="G272" s="2" t="s">
        <v>83</v>
      </c>
      <c r="H272" s="2" t="s">
        <v>18</v>
      </c>
      <c r="I272" s="2" t="s">
        <v>74</v>
      </c>
      <c r="J272" s="2" t="s">
        <v>75</v>
      </c>
      <c r="K272" s="2" t="s">
        <v>47</v>
      </c>
      <c r="L272">
        <v>3</v>
      </c>
      <c r="M272">
        <v>567.21</v>
      </c>
      <c r="N272">
        <v>1701.63</v>
      </c>
      <c r="O272" t="s">
        <v>29</v>
      </c>
      <c r="P272" s="2" t="s">
        <v>23</v>
      </c>
      <c r="Q272" s="2" t="s">
        <v>24</v>
      </c>
    </row>
    <row r="273" spans="1:17" hidden="1" x14ac:dyDescent="0.3">
      <c r="A273">
        <v>202400584</v>
      </c>
      <c r="B273" s="1">
        <v>45449</v>
      </c>
      <c r="C273">
        <v>2024</v>
      </c>
      <c r="D273">
        <v>2</v>
      </c>
      <c r="E273">
        <v>6</v>
      </c>
      <c r="F273">
        <v>20</v>
      </c>
      <c r="G273" s="2" t="s">
        <v>81</v>
      </c>
      <c r="H273" s="2" t="s">
        <v>69</v>
      </c>
      <c r="I273" s="2" t="s">
        <v>56</v>
      </c>
      <c r="J273" s="2" t="s">
        <v>57</v>
      </c>
      <c r="K273" s="2" t="s">
        <v>58</v>
      </c>
      <c r="L273">
        <v>3</v>
      </c>
      <c r="M273">
        <v>167.24</v>
      </c>
      <c r="N273">
        <v>501.72</v>
      </c>
      <c r="O273" t="s">
        <v>29</v>
      </c>
      <c r="P273" s="2" t="s">
        <v>43</v>
      </c>
      <c r="Q273" s="2" t="s">
        <v>41</v>
      </c>
    </row>
    <row r="274" spans="1:17" hidden="1" x14ac:dyDescent="0.3">
      <c r="A274">
        <v>202401073</v>
      </c>
      <c r="B274" s="1">
        <v>45448</v>
      </c>
      <c r="C274">
        <v>2024</v>
      </c>
      <c r="D274">
        <v>2</v>
      </c>
      <c r="E274">
        <v>6</v>
      </c>
      <c r="F274">
        <v>45</v>
      </c>
      <c r="G274" s="2" t="s">
        <v>103</v>
      </c>
      <c r="H274" s="2" t="s">
        <v>26</v>
      </c>
      <c r="I274" s="2" t="s">
        <v>56</v>
      </c>
      <c r="J274" s="2" t="s">
        <v>57</v>
      </c>
      <c r="K274" s="2" t="s">
        <v>50</v>
      </c>
      <c r="L274">
        <v>9</v>
      </c>
      <c r="M274">
        <v>1132.5</v>
      </c>
      <c r="N274">
        <v>10192.5</v>
      </c>
      <c r="O274" t="s">
        <v>29</v>
      </c>
      <c r="P274" s="2" t="s">
        <v>43</v>
      </c>
      <c r="Q274" s="2" t="s">
        <v>24</v>
      </c>
    </row>
    <row r="275" spans="1:17" hidden="1" x14ac:dyDescent="0.3">
      <c r="A275">
        <v>202401067</v>
      </c>
      <c r="B275" s="1">
        <v>45457</v>
      </c>
      <c r="C275">
        <v>2024</v>
      </c>
      <c r="D275">
        <v>2</v>
      </c>
      <c r="E275">
        <v>6</v>
      </c>
      <c r="F275">
        <v>11</v>
      </c>
      <c r="G275" s="2" t="s">
        <v>66</v>
      </c>
      <c r="H275" s="2" t="s">
        <v>18</v>
      </c>
      <c r="I275" s="2" t="s">
        <v>67</v>
      </c>
      <c r="J275" s="2" t="s">
        <v>20</v>
      </c>
      <c r="K275" s="2" t="s">
        <v>35</v>
      </c>
      <c r="L275">
        <v>9</v>
      </c>
      <c r="M275">
        <v>1799.78</v>
      </c>
      <c r="N275">
        <v>16198.02</v>
      </c>
      <c r="O275" t="s">
        <v>29</v>
      </c>
      <c r="P275" s="2" t="s">
        <v>48</v>
      </c>
      <c r="Q275" s="2" t="s">
        <v>45</v>
      </c>
    </row>
    <row r="276" spans="1:17" hidden="1" x14ac:dyDescent="0.3">
      <c r="A276">
        <v>202400768</v>
      </c>
      <c r="B276" s="1">
        <v>45502</v>
      </c>
      <c r="C276">
        <v>2024</v>
      </c>
      <c r="D276">
        <v>3</v>
      </c>
      <c r="E276">
        <v>7</v>
      </c>
      <c r="F276">
        <v>80</v>
      </c>
      <c r="G276" s="2" t="s">
        <v>76</v>
      </c>
      <c r="H276" s="2" t="s">
        <v>26</v>
      </c>
      <c r="I276" s="2" t="s">
        <v>54</v>
      </c>
      <c r="J276" s="2" t="s">
        <v>20</v>
      </c>
      <c r="K276" s="2" t="s">
        <v>42</v>
      </c>
      <c r="L276">
        <v>2</v>
      </c>
      <c r="M276">
        <v>1218.53</v>
      </c>
      <c r="N276">
        <v>2437.06</v>
      </c>
      <c r="O276" t="s">
        <v>36</v>
      </c>
      <c r="P276" s="2" t="s">
        <v>43</v>
      </c>
      <c r="Q276" s="2" t="s">
        <v>24</v>
      </c>
    </row>
    <row r="277" spans="1:17" x14ac:dyDescent="0.3">
      <c r="A277">
        <v>202400718</v>
      </c>
      <c r="B277" s="1">
        <v>45352</v>
      </c>
      <c r="C277">
        <v>2024</v>
      </c>
      <c r="D277">
        <v>1</v>
      </c>
      <c r="E277">
        <v>3</v>
      </c>
      <c r="F277">
        <v>8</v>
      </c>
      <c r="G277" s="2" t="s">
        <v>63</v>
      </c>
      <c r="H277" s="2" t="s">
        <v>26</v>
      </c>
      <c r="I277" s="2" t="s">
        <v>54</v>
      </c>
      <c r="J277" s="2" t="s">
        <v>20</v>
      </c>
      <c r="K277" s="2" t="s">
        <v>71</v>
      </c>
      <c r="L277">
        <v>9</v>
      </c>
      <c r="M277">
        <v>217.38</v>
      </c>
      <c r="N277">
        <v>1956.42</v>
      </c>
      <c r="O277" t="s">
        <v>29</v>
      </c>
      <c r="P277" s="2" t="s">
        <v>43</v>
      </c>
      <c r="Q277" s="2" t="s">
        <v>40</v>
      </c>
    </row>
    <row r="278" spans="1:17" hidden="1" x14ac:dyDescent="0.3">
      <c r="A278">
        <v>202400591</v>
      </c>
      <c r="B278" s="1">
        <v>45491</v>
      </c>
      <c r="C278">
        <v>2024</v>
      </c>
      <c r="D278">
        <v>3</v>
      </c>
      <c r="E278">
        <v>7</v>
      </c>
      <c r="F278">
        <v>20</v>
      </c>
      <c r="G278" s="2" t="s">
        <v>81</v>
      </c>
      <c r="H278" s="2" t="s">
        <v>69</v>
      </c>
      <c r="I278" s="2" t="s">
        <v>56</v>
      </c>
      <c r="J278" s="2" t="s">
        <v>57</v>
      </c>
      <c r="K278" s="2" t="s">
        <v>35</v>
      </c>
      <c r="L278">
        <v>10</v>
      </c>
      <c r="M278">
        <v>720.52</v>
      </c>
      <c r="N278">
        <v>7205.2</v>
      </c>
      <c r="O278" t="s">
        <v>22</v>
      </c>
      <c r="P278" s="2" t="s">
        <v>23</v>
      </c>
      <c r="Q278" s="2" t="s">
        <v>24</v>
      </c>
    </row>
    <row r="279" spans="1:17" hidden="1" x14ac:dyDescent="0.3">
      <c r="A279">
        <v>202400468</v>
      </c>
      <c r="B279" s="1">
        <v>45576</v>
      </c>
      <c r="C279">
        <v>2024</v>
      </c>
      <c r="D279">
        <v>4</v>
      </c>
      <c r="E279">
        <v>10</v>
      </c>
      <c r="F279">
        <v>3</v>
      </c>
      <c r="G279" s="2" t="s">
        <v>44</v>
      </c>
      <c r="H279" s="2" t="s">
        <v>26</v>
      </c>
      <c r="I279" s="2" t="s">
        <v>38</v>
      </c>
      <c r="J279" s="2" t="s">
        <v>20</v>
      </c>
      <c r="K279" s="2" t="s">
        <v>39</v>
      </c>
      <c r="L279">
        <v>1</v>
      </c>
      <c r="M279">
        <v>22.26</v>
      </c>
      <c r="N279">
        <v>22.26</v>
      </c>
      <c r="O279" t="s">
        <v>36</v>
      </c>
      <c r="P279" s="2" t="s">
        <v>43</v>
      </c>
      <c r="Q279" s="2" t="s">
        <v>24</v>
      </c>
    </row>
    <row r="280" spans="1:17" hidden="1" x14ac:dyDescent="0.3">
      <c r="A280">
        <v>202400524</v>
      </c>
      <c r="B280" s="1">
        <v>45438</v>
      </c>
      <c r="C280">
        <v>2024</v>
      </c>
      <c r="D280">
        <v>2</v>
      </c>
      <c r="E280">
        <v>5</v>
      </c>
      <c r="F280">
        <v>21</v>
      </c>
      <c r="G280" s="2" t="s">
        <v>53</v>
      </c>
      <c r="H280" s="2" t="s">
        <v>26</v>
      </c>
      <c r="I280" s="2" t="s">
        <v>78</v>
      </c>
      <c r="J280" s="2" t="s">
        <v>75</v>
      </c>
      <c r="K280" s="2" t="s">
        <v>50</v>
      </c>
      <c r="L280">
        <v>12</v>
      </c>
      <c r="M280">
        <v>1233.01</v>
      </c>
      <c r="N280">
        <v>14796.119999999999</v>
      </c>
      <c r="O280" t="s">
        <v>22</v>
      </c>
      <c r="P280" s="2" t="s">
        <v>30</v>
      </c>
      <c r="Q280" s="2" t="s">
        <v>40</v>
      </c>
    </row>
    <row r="281" spans="1:17" x14ac:dyDescent="0.3">
      <c r="A281">
        <v>202400606</v>
      </c>
      <c r="B281" s="1">
        <v>45331</v>
      </c>
      <c r="C281">
        <v>2024</v>
      </c>
      <c r="D281">
        <v>1</v>
      </c>
      <c r="E281">
        <v>2</v>
      </c>
      <c r="F281">
        <v>69</v>
      </c>
      <c r="G281" s="2" t="s">
        <v>98</v>
      </c>
      <c r="H281" s="2" t="s">
        <v>62</v>
      </c>
      <c r="I281" s="2" t="s">
        <v>67</v>
      </c>
      <c r="J281" s="2" t="s">
        <v>20</v>
      </c>
      <c r="K281" s="2" t="s">
        <v>97</v>
      </c>
      <c r="L281">
        <v>11</v>
      </c>
      <c r="M281">
        <v>1849.66</v>
      </c>
      <c r="N281">
        <v>20346.260000000002</v>
      </c>
      <c r="O281" t="s">
        <v>22</v>
      </c>
      <c r="P281" s="2" t="s">
        <v>43</v>
      </c>
      <c r="Q281" s="2" t="s">
        <v>24</v>
      </c>
    </row>
    <row r="282" spans="1:17" x14ac:dyDescent="0.3">
      <c r="A282">
        <v>202400997</v>
      </c>
      <c r="B282" s="1">
        <v>45316</v>
      </c>
      <c r="C282">
        <v>2024</v>
      </c>
      <c r="D282">
        <v>1</v>
      </c>
      <c r="E282">
        <v>1</v>
      </c>
      <c r="F282">
        <v>72</v>
      </c>
      <c r="G282" s="2" t="s">
        <v>100</v>
      </c>
      <c r="H282" s="2" t="s">
        <v>140</v>
      </c>
      <c r="I282" s="2" t="s">
        <v>33</v>
      </c>
      <c r="J282" s="2" t="s">
        <v>34</v>
      </c>
      <c r="K282" s="2" t="s">
        <v>60</v>
      </c>
      <c r="L282">
        <v>6</v>
      </c>
      <c r="M282">
        <v>1709.65</v>
      </c>
      <c r="N282">
        <v>10257.900000000001</v>
      </c>
      <c r="O282" t="s">
        <v>29</v>
      </c>
      <c r="P282" s="2" t="s">
        <v>23</v>
      </c>
      <c r="Q282" s="2" t="s">
        <v>24</v>
      </c>
    </row>
    <row r="283" spans="1:17" hidden="1" x14ac:dyDescent="0.3">
      <c r="A283">
        <v>202400651</v>
      </c>
      <c r="B283" s="1">
        <v>45485</v>
      </c>
      <c r="C283">
        <v>2024</v>
      </c>
      <c r="D283">
        <v>3</v>
      </c>
      <c r="E283">
        <v>7</v>
      </c>
      <c r="F283">
        <v>17</v>
      </c>
      <c r="G283" s="2" t="s">
        <v>77</v>
      </c>
      <c r="H283" s="2" t="s">
        <v>69</v>
      </c>
      <c r="I283" s="2" t="s">
        <v>78</v>
      </c>
      <c r="J283" s="2" t="s">
        <v>75</v>
      </c>
      <c r="K283" s="2" t="s">
        <v>50</v>
      </c>
      <c r="L283">
        <v>10</v>
      </c>
      <c r="M283">
        <v>1261.6199999999999</v>
      </c>
      <c r="N283">
        <v>12616.199999999999</v>
      </c>
      <c r="O283" t="s">
        <v>22</v>
      </c>
      <c r="P283" s="2" t="s">
        <v>43</v>
      </c>
      <c r="Q283" s="2" t="s">
        <v>49</v>
      </c>
    </row>
    <row r="284" spans="1:17" hidden="1" x14ac:dyDescent="0.3">
      <c r="A284">
        <v>202401189</v>
      </c>
      <c r="B284" s="1">
        <v>45493</v>
      </c>
      <c r="C284">
        <v>2024</v>
      </c>
      <c r="D284">
        <v>3</v>
      </c>
      <c r="E284">
        <v>7</v>
      </c>
      <c r="F284">
        <v>55</v>
      </c>
      <c r="G284" s="2" t="s">
        <v>87</v>
      </c>
      <c r="H284" s="2" t="s">
        <v>69</v>
      </c>
      <c r="I284" s="2" t="s">
        <v>85</v>
      </c>
      <c r="J284" s="2" t="s">
        <v>57</v>
      </c>
      <c r="K284" s="2" t="s">
        <v>47</v>
      </c>
      <c r="L284">
        <v>4</v>
      </c>
      <c r="M284">
        <v>255.13</v>
      </c>
      <c r="N284">
        <v>1020.52</v>
      </c>
      <c r="O284" t="s">
        <v>29</v>
      </c>
      <c r="P284" s="2" t="s">
        <v>30</v>
      </c>
      <c r="Q284" s="2" t="s">
        <v>40</v>
      </c>
    </row>
    <row r="285" spans="1:17" hidden="1" x14ac:dyDescent="0.3">
      <c r="A285">
        <v>202400487</v>
      </c>
      <c r="B285" s="1">
        <v>45432</v>
      </c>
      <c r="C285">
        <v>2024</v>
      </c>
      <c r="D285">
        <v>2</v>
      </c>
      <c r="E285">
        <v>5</v>
      </c>
      <c r="F285">
        <v>17</v>
      </c>
      <c r="G285" s="2" t="s">
        <v>77</v>
      </c>
      <c r="H285" s="2" t="s">
        <v>69</v>
      </c>
      <c r="I285" s="2" t="s">
        <v>78</v>
      </c>
      <c r="J285" s="2" t="s">
        <v>75</v>
      </c>
      <c r="K285" s="2" t="s">
        <v>21</v>
      </c>
      <c r="L285">
        <v>6</v>
      </c>
      <c r="M285">
        <v>202.75</v>
      </c>
      <c r="N285">
        <v>1216.5</v>
      </c>
      <c r="O285" t="s">
        <v>29</v>
      </c>
      <c r="P285" s="2" t="s">
        <v>43</v>
      </c>
      <c r="Q285" s="2" t="s">
        <v>45</v>
      </c>
    </row>
    <row r="286" spans="1:17" hidden="1" x14ac:dyDescent="0.3">
      <c r="A286">
        <v>202400040</v>
      </c>
      <c r="B286" s="1">
        <v>45597</v>
      </c>
      <c r="C286">
        <v>2024</v>
      </c>
      <c r="D286">
        <v>4</v>
      </c>
      <c r="E286">
        <v>11</v>
      </c>
      <c r="F286">
        <v>18</v>
      </c>
      <c r="G286" s="2" t="s">
        <v>116</v>
      </c>
      <c r="H286" s="2" t="s">
        <v>62</v>
      </c>
      <c r="I286" s="2" t="s">
        <v>54</v>
      </c>
      <c r="J286" s="2" t="s">
        <v>20</v>
      </c>
      <c r="K286" s="2" t="s">
        <v>21</v>
      </c>
      <c r="L286">
        <v>14</v>
      </c>
      <c r="M286">
        <v>247.9</v>
      </c>
      <c r="N286">
        <v>3470.6</v>
      </c>
      <c r="O286" t="s">
        <v>22</v>
      </c>
      <c r="P286" s="2" t="s">
        <v>30</v>
      </c>
      <c r="Q286" s="2" t="s">
        <v>45</v>
      </c>
    </row>
    <row r="287" spans="1:17" hidden="1" x14ac:dyDescent="0.3">
      <c r="A287">
        <v>202400031</v>
      </c>
      <c r="B287" s="1">
        <v>45397</v>
      </c>
      <c r="C287">
        <v>2024</v>
      </c>
      <c r="D287">
        <v>2</v>
      </c>
      <c r="E287">
        <v>4</v>
      </c>
      <c r="F287">
        <v>72</v>
      </c>
      <c r="G287" s="2" t="s">
        <v>100</v>
      </c>
      <c r="H287" s="2" t="s">
        <v>140</v>
      </c>
      <c r="I287" s="2" t="s">
        <v>33</v>
      </c>
      <c r="J287" s="2" t="s">
        <v>34</v>
      </c>
      <c r="K287" s="2" t="s">
        <v>47</v>
      </c>
      <c r="L287">
        <v>12</v>
      </c>
      <c r="M287">
        <v>907.3</v>
      </c>
      <c r="N287">
        <v>10887.599999999999</v>
      </c>
      <c r="O287" t="s">
        <v>22</v>
      </c>
      <c r="P287" s="2" t="s">
        <v>30</v>
      </c>
      <c r="Q287" s="2" t="s">
        <v>24</v>
      </c>
    </row>
    <row r="288" spans="1:17" hidden="1" x14ac:dyDescent="0.3">
      <c r="A288">
        <v>202400243</v>
      </c>
      <c r="B288" s="1">
        <v>45426</v>
      </c>
      <c r="C288">
        <v>2024</v>
      </c>
      <c r="D288">
        <v>2</v>
      </c>
      <c r="E288">
        <v>5</v>
      </c>
      <c r="F288">
        <v>15</v>
      </c>
      <c r="G288" s="2" t="s">
        <v>115</v>
      </c>
      <c r="H288" s="2" t="s">
        <v>140</v>
      </c>
      <c r="I288" s="2" t="s">
        <v>19</v>
      </c>
      <c r="J288" s="2" t="s">
        <v>20</v>
      </c>
      <c r="K288" s="2" t="s">
        <v>39</v>
      </c>
      <c r="L288">
        <v>2</v>
      </c>
      <c r="M288">
        <v>1872.51</v>
      </c>
      <c r="N288">
        <v>3745.02</v>
      </c>
      <c r="O288" t="s">
        <v>36</v>
      </c>
      <c r="P288" s="2" t="s">
        <v>48</v>
      </c>
      <c r="Q288" s="2" t="s">
        <v>40</v>
      </c>
    </row>
    <row r="289" spans="1:17" hidden="1" x14ac:dyDescent="0.3">
      <c r="A289">
        <v>202400672</v>
      </c>
      <c r="B289" s="1">
        <v>45505</v>
      </c>
      <c r="C289">
        <v>2024</v>
      </c>
      <c r="D289">
        <v>3</v>
      </c>
      <c r="E289">
        <v>8</v>
      </c>
      <c r="F289">
        <v>61</v>
      </c>
      <c r="G289" s="2" t="s">
        <v>90</v>
      </c>
      <c r="H289" s="2" t="s">
        <v>69</v>
      </c>
      <c r="I289" s="2" t="s">
        <v>65</v>
      </c>
      <c r="J289" s="2" t="s">
        <v>34</v>
      </c>
      <c r="K289" s="2" t="s">
        <v>97</v>
      </c>
      <c r="L289">
        <v>10</v>
      </c>
      <c r="M289">
        <v>1812.55</v>
      </c>
      <c r="N289">
        <v>18125.5</v>
      </c>
      <c r="O289" t="s">
        <v>22</v>
      </c>
      <c r="P289" s="2" t="s">
        <v>30</v>
      </c>
      <c r="Q289" s="2" t="s">
        <v>24</v>
      </c>
    </row>
    <row r="290" spans="1:17" hidden="1" x14ac:dyDescent="0.3">
      <c r="A290">
        <v>202400137</v>
      </c>
      <c r="B290" s="1">
        <v>45466</v>
      </c>
      <c r="C290">
        <v>2024</v>
      </c>
      <c r="D290">
        <v>2</v>
      </c>
      <c r="E290">
        <v>6</v>
      </c>
      <c r="F290">
        <v>47</v>
      </c>
      <c r="G290" s="2" t="s">
        <v>120</v>
      </c>
      <c r="H290" s="2" t="s">
        <v>140</v>
      </c>
      <c r="I290" s="2" t="s">
        <v>38</v>
      </c>
      <c r="J290" s="2" t="s">
        <v>20</v>
      </c>
      <c r="K290" s="2" t="s">
        <v>50</v>
      </c>
      <c r="L290">
        <v>10</v>
      </c>
      <c r="M290">
        <v>1610.85</v>
      </c>
      <c r="N290">
        <v>16108.5</v>
      </c>
      <c r="O290" t="s">
        <v>22</v>
      </c>
      <c r="P290" s="2" t="s">
        <v>23</v>
      </c>
      <c r="Q290" s="2" t="s">
        <v>49</v>
      </c>
    </row>
    <row r="291" spans="1:17" x14ac:dyDescent="0.3">
      <c r="A291">
        <v>202401148</v>
      </c>
      <c r="B291" s="1">
        <v>45330</v>
      </c>
      <c r="C291">
        <v>2024</v>
      </c>
      <c r="D291">
        <v>1</v>
      </c>
      <c r="E291">
        <v>2</v>
      </c>
      <c r="F291">
        <v>74</v>
      </c>
      <c r="G291" s="2" t="s">
        <v>102</v>
      </c>
      <c r="H291" s="2" t="s">
        <v>140</v>
      </c>
      <c r="I291" s="2" t="s">
        <v>27</v>
      </c>
      <c r="J291" s="2" t="s">
        <v>20</v>
      </c>
      <c r="K291" s="2" t="s">
        <v>58</v>
      </c>
      <c r="L291">
        <v>11</v>
      </c>
      <c r="M291">
        <v>1271.8599999999999</v>
      </c>
      <c r="N291">
        <v>13990.46</v>
      </c>
      <c r="O291" t="s">
        <v>22</v>
      </c>
      <c r="P291" s="2" t="s">
        <v>23</v>
      </c>
      <c r="Q291" s="2" t="s">
        <v>40</v>
      </c>
    </row>
    <row r="292" spans="1:17" hidden="1" x14ac:dyDescent="0.3">
      <c r="A292">
        <v>202400732</v>
      </c>
      <c r="B292" s="1">
        <v>45404</v>
      </c>
      <c r="C292">
        <v>2024</v>
      </c>
      <c r="D292">
        <v>2</v>
      </c>
      <c r="E292">
        <v>4</v>
      </c>
      <c r="F292">
        <v>80</v>
      </c>
      <c r="G292" s="2" t="s">
        <v>76</v>
      </c>
      <c r="H292" s="2" t="s">
        <v>26</v>
      </c>
      <c r="I292" s="2" t="s">
        <v>54</v>
      </c>
      <c r="J292" s="2" t="s">
        <v>20</v>
      </c>
      <c r="K292" s="2" t="s">
        <v>47</v>
      </c>
      <c r="L292">
        <v>14</v>
      </c>
      <c r="M292">
        <v>1614.78</v>
      </c>
      <c r="N292">
        <v>22606.92</v>
      </c>
      <c r="O292" t="s">
        <v>22</v>
      </c>
      <c r="P292" s="2" t="s">
        <v>43</v>
      </c>
      <c r="Q292" s="2" t="s">
        <v>41</v>
      </c>
    </row>
    <row r="293" spans="1:17" hidden="1" x14ac:dyDescent="0.3">
      <c r="A293">
        <v>202400004</v>
      </c>
      <c r="B293" s="1">
        <v>45630</v>
      </c>
      <c r="C293">
        <v>2024</v>
      </c>
      <c r="D293">
        <v>4</v>
      </c>
      <c r="E293">
        <v>12</v>
      </c>
      <c r="F293">
        <v>44</v>
      </c>
      <c r="G293" s="2" t="s">
        <v>129</v>
      </c>
      <c r="H293" s="2" t="s">
        <v>140</v>
      </c>
      <c r="I293" s="2" t="s">
        <v>27</v>
      </c>
      <c r="J293" s="2" t="s">
        <v>20</v>
      </c>
      <c r="K293" s="2" t="s">
        <v>42</v>
      </c>
      <c r="L293">
        <v>8</v>
      </c>
      <c r="M293">
        <v>1482.54</v>
      </c>
      <c r="N293">
        <v>11860.32</v>
      </c>
      <c r="O293" t="s">
        <v>29</v>
      </c>
      <c r="P293" s="2" t="s">
        <v>30</v>
      </c>
      <c r="Q293" s="2" t="s">
        <v>40</v>
      </c>
    </row>
    <row r="294" spans="1:17" x14ac:dyDescent="0.3">
      <c r="A294">
        <v>202400618</v>
      </c>
      <c r="B294" s="1">
        <v>45379</v>
      </c>
      <c r="C294">
        <v>2024</v>
      </c>
      <c r="D294">
        <v>1</v>
      </c>
      <c r="E294">
        <v>3</v>
      </c>
      <c r="F294">
        <v>34</v>
      </c>
      <c r="G294" s="2" t="s">
        <v>95</v>
      </c>
      <c r="H294" s="2" t="s">
        <v>18</v>
      </c>
      <c r="I294" s="2" t="s">
        <v>54</v>
      </c>
      <c r="J294" s="2" t="s">
        <v>20</v>
      </c>
      <c r="K294" s="2" t="s">
        <v>51</v>
      </c>
      <c r="L294">
        <v>1</v>
      </c>
      <c r="M294">
        <v>227.31</v>
      </c>
      <c r="N294">
        <v>227.31</v>
      </c>
      <c r="O294" t="s">
        <v>36</v>
      </c>
      <c r="P294" s="2" t="s">
        <v>48</v>
      </c>
      <c r="Q294" s="2" t="s">
        <v>24</v>
      </c>
    </row>
    <row r="295" spans="1:17" x14ac:dyDescent="0.3">
      <c r="A295">
        <v>202400810</v>
      </c>
      <c r="B295" s="1">
        <v>45310</v>
      </c>
      <c r="C295">
        <v>2024</v>
      </c>
      <c r="D295">
        <v>1</v>
      </c>
      <c r="E295">
        <v>1</v>
      </c>
      <c r="F295">
        <v>9</v>
      </c>
      <c r="G295" s="2" t="s">
        <v>44</v>
      </c>
      <c r="H295" s="2" t="s">
        <v>62</v>
      </c>
      <c r="I295" s="2" t="s">
        <v>78</v>
      </c>
      <c r="J295" s="2" t="s">
        <v>75</v>
      </c>
      <c r="K295" s="2" t="s">
        <v>50</v>
      </c>
      <c r="L295">
        <v>13</v>
      </c>
      <c r="M295">
        <v>620</v>
      </c>
      <c r="N295">
        <v>8060</v>
      </c>
      <c r="O295" t="s">
        <v>22</v>
      </c>
      <c r="P295" s="2" t="s">
        <v>48</v>
      </c>
      <c r="Q295" s="2" t="s">
        <v>31</v>
      </c>
    </row>
    <row r="296" spans="1:17" hidden="1" x14ac:dyDescent="0.3">
      <c r="A296">
        <v>202401053</v>
      </c>
      <c r="B296" s="1">
        <v>45602</v>
      </c>
      <c r="C296">
        <v>2024</v>
      </c>
      <c r="D296">
        <v>4</v>
      </c>
      <c r="E296">
        <v>11</v>
      </c>
      <c r="F296">
        <v>28</v>
      </c>
      <c r="G296" s="2" t="s">
        <v>114</v>
      </c>
      <c r="H296" s="2" t="s">
        <v>62</v>
      </c>
      <c r="I296" s="2" t="s">
        <v>33</v>
      </c>
      <c r="J296" s="2" t="s">
        <v>34</v>
      </c>
      <c r="K296" s="2" t="s">
        <v>70</v>
      </c>
      <c r="L296">
        <v>13</v>
      </c>
      <c r="M296">
        <v>1173.21</v>
      </c>
      <c r="N296">
        <v>15251.73</v>
      </c>
      <c r="O296" t="s">
        <v>22</v>
      </c>
      <c r="P296" s="2" t="s">
        <v>30</v>
      </c>
      <c r="Q296" s="2" t="s">
        <v>24</v>
      </c>
    </row>
    <row r="297" spans="1:17" hidden="1" x14ac:dyDescent="0.3">
      <c r="A297">
        <v>202400480</v>
      </c>
      <c r="B297" s="1">
        <v>45536</v>
      </c>
      <c r="C297">
        <v>2024</v>
      </c>
      <c r="D297">
        <v>3</v>
      </c>
      <c r="E297">
        <v>9</v>
      </c>
      <c r="F297">
        <v>68</v>
      </c>
      <c r="G297" s="2" t="s">
        <v>128</v>
      </c>
      <c r="H297" s="2" t="s">
        <v>140</v>
      </c>
      <c r="I297" s="2" t="s">
        <v>85</v>
      </c>
      <c r="J297" s="2" t="s">
        <v>57</v>
      </c>
      <c r="K297" s="2" t="s">
        <v>35</v>
      </c>
      <c r="L297">
        <v>12</v>
      </c>
      <c r="M297">
        <v>1160.69</v>
      </c>
      <c r="N297">
        <v>13928.28</v>
      </c>
      <c r="O297" t="s">
        <v>22</v>
      </c>
      <c r="P297" s="2" t="s">
        <v>43</v>
      </c>
      <c r="Q297" s="2" t="s">
        <v>24</v>
      </c>
    </row>
    <row r="298" spans="1:17" hidden="1" x14ac:dyDescent="0.3">
      <c r="A298">
        <v>202400947</v>
      </c>
      <c r="B298" s="1">
        <v>45494</v>
      </c>
      <c r="C298">
        <v>2024</v>
      </c>
      <c r="D298">
        <v>3</v>
      </c>
      <c r="E298">
        <v>7</v>
      </c>
      <c r="F298">
        <v>58</v>
      </c>
      <c r="G298" s="2" t="s">
        <v>68</v>
      </c>
      <c r="H298" s="2" t="s">
        <v>69</v>
      </c>
      <c r="I298" s="2" t="s">
        <v>85</v>
      </c>
      <c r="J298" s="2" t="s">
        <v>57</v>
      </c>
      <c r="K298" s="2" t="s">
        <v>39</v>
      </c>
      <c r="L298">
        <v>13</v>
      </c>
      <c r="M298">
        <v>1611.52</v>
      </c>
      <c r="N298">
        <v>20949.759999999998</v>
      </c>
      <c r="O298" t="s">
        <v>22</v>
      </c>
      <c r="P298" s="2" t="s">
        <v>48</v>
      </c>
      <c r="Q298" s="2" t="s">
        <v>24</v>
      </c>
    </row>
    <row r="299" spans="1:17" x14ac:dyDescent="0.3">
      <c r="A299">
        <v>202400695</v>
      </c>
      <c r="B299" s="1">
        <v>45372</v>
      </c>
      <c r="C299">
        <v>2024</v>
      </c>
      <c r="D299">
        <v>1</v>
      </c>
      <c r="E299">
        <v>3</v>
      </c>
      <c r="F299">
        <v>45</v>
      </c>
      <c r="G299" s="2" t="s">
        <v>103</v>
      </c>
      <c r="H299" s="2" t="s">
        <v>26</v>
      </c>
      <c r="I299" s="2" t="s">
        <v>56</v>
      </c>
      <c r="J299" s="2" t="s">
        <v>57</v>
      </c>
      <c r="K299" s="2" t="s">
        <v>51</v>
      </c>
      <c r="L299">
        <v>10</v>
      </c>
      <c r="M299">
        <v>1641.73</v>
      </c>
      <c r="N299">
        <v>16417.3</v>
      </c>
      <c r="O299" t="s">
        <v>22</v>
      </c>
      <c r="P299" s="2" t="s">
        <v>30</v>
      </c>
      <c r="Q299" s="2" t="s">
        <v>40</v>
      </c>
    </row>
    <row r="300" spans="1:17" x14ac:dyDescent="0.3">
      <c r="A300">
        <v>202400813</v>
      </c>
      <c r="B300" s="1">
        <v>45354</v>
      </c>
      <c r="C300">
        <v>2024</v>
      </c>
      <c r="D300">
        <v>1</v>
      </c>
      <c r="E300">
        <v>3</v>
      </c>
      <c r="F300">
        <v>61</v>
      </c>
      <c r="G300" s="2" t="s">
        <v>90</v>
      </c>
      <c r="H300" s="2" t="s">
        <v>69</v>
      </c>
      <c r="I300" s="2" t="s">
        <v>65</v>
      </c>
      <c r="J300" s="2" t="s">
        <v>34</v>
      </c>
      <c r="K300" s="2" t="s">
        <v>58</v>
      </c>
      <c r="L300">
        <v>6</v>
      </c>
      <c r="M300">
        <v>447.31</v>
      </c>
      <c r="N300">
        <v>2683.86</v>
      </c>
      <c r="O300" t="s">
        <v>29</v>
      </c>
      <c r="P300" s="2" t="s">
        <v>43</v>
      </c>
      <c r="Q300" s="2" t="s">
        <v>24</v>
      </c>
    </row>
    <row r="301" spans="1:17" hidden="1" x14ac:dyDescent="0.3">
      <c r="A301">
        <v>202400006</v>
      </c>
      <c r="B301" s="1">
        <v>45574</v>
      </c>
      <c r="C301">
        <v>2024</v>
      </c>
      <c r="D301">
        <v>4</v>
      </c>
      <c r="E301">
        <v>10</v>
      </c>
      <c r="F301">
        <v>40</v>
      </c>
      <c r="G301" s="2" t="s">
        <v>125</v>
      </c>
      <c r="H301" s="2" t="s">
        <v>69</v>
      </c>
      <c r="I301" s="2" t="s">
        <v>126</v>
      </c>
      <c r="J301" s="2" t="s">
        <v>20</v>
      </c>
      <c r="K301" s="2" t="s">
        <v>71</v>
      </c>
      <c r="L301">
        <v>7</v>
      </c>
      <c r="M301">
        <v>733.63</v>
      </c>
      <c r="N301">
        <v>5135.41</v>
      </c>
      <c r="O301" t="s">
        <v>29</v>
      </c>
      <c r="P301" s="2" t="s">
        <v>43</v>
      </c>
      <c r="Q301" s="2" t="s">
        <v>24</v>
      </c>
    </row>
    <row r="302" spans="1:17" hidden="1" x14ac:dyDescent="0.3">
      <c r="A302">
        <v>202400101</v>
      </c>
      <c r="B302" s="1">
        <v>45403</v>
      </c>
      <c r="C302">
        <v>2024</v>
      </c>
      <c r="D302">
        <v>2</v>
      </c>
      <c r="E302">
        <v>4</v>
      </c>
      <c r="F302">
        <v>53</v>
      </c>
      <c r="G302" s="2" t="s">
        <v>113</v>
      </c>
      <c r="H302" s="2" t="s">
        <v>26</v>
      </c>
      <c r="I302" s="2" t="s">
        <v>27</v>
      </c>
      <c r="J302" s="2" t="s">
        <v>20</v>
      </c>
      <c r="K302" s="2" t="s">
        <v>71</v>
      </c>
      <c r="L302">
        <v>13</v>
      </c>
      <c r="M302">
        <v>1533.81</v>
      </c>
      <c r="N302">
        <v>19939.53</v>
      </c>
      <c r="O302" t="s">
        <v>22</v>
      </c>
      <c r="P302" s="2" t="s">
        <v>30</v>
      </c>
      <c r="Q302" s="2" t="s">
        <v>31</v>
      </c>
    </row>
    <row r="303" spans="1:17" hidden="1" x14ac:dyDescent="0.3">
      <c r="A303">
        <v>202400850</v>
      </c>
      <c r="B303" s="1">
        <v>45428</v>
      </c>
      <c r="C303">
        <v>2024</v>
      </c>
      <c r="D303">
        <v>2</v>
      </c>
      <c r="E303">
        <v>5</v>
      </c>
      <c r="F303">
        <v>27</v>
      </c>
      <c r="G303" s="2" t="s">
        <v>83</v>
      </c>
      <c r="H303" s="2" t="s">
        <v>18</v>
      </c>
      <c r="I303" s="2" t="s">
        <v>74</v>
      </c>
      <c r="J303" s="2" t="s">
        <v>75</v>
      </c>
      <c r="K303" s="2" t="s">
        <v>47</v>
      </c>
      <c r="L303">
        <v>6</v>
      </c>
      <c r="M303">
        <v>1752.16</v>
      </c>
      <c r="N303">
        <v>10512.960000000001</v>
      </c>
      <c r="O303" t="s">
        <v>29</v>
      </c>
      <c r="P303" s="2" t="s">
        <v>30</v>
      </c>
      <c r="Q303" s="2" t="s">
        <v>41</v>
      </c>
    </row>
    <row r="304" spans="1:17" hidden="1" x14ac:dyDescent="0.3">
      <c r="A304">
        <v>202400520</v>
      </c>
      <c r="B304" s="1">
        <v>45559</v>
      </c>
      <c r="C304">
        <v>2024</v>
      </c>
      <c r="D304">
        <v>3</v>
      </c>
      <c r="E304">
        <v>9</v>
      </c>
      <c r="F304">
        <v>64</v>
      </c>
      <c r="G304" s="2" t="s">
        <v>106</v>
      </c>
      <c r="H304" s="2" t="s">
        <v>26</v>
      </c>
      <c r="I304" s="2" t="s">
        <v>27</v>
      </c>
      <c r="J304" s="2" t="s">
        <v>20</v>
      </c>
      <c r="K304" s="2" t="s">
        <v>50</v>
      </c>
      <c r="L304">
        <v>2</v>
      </c>
      <c r="M304">
        <v>614.09</v>
      </c>
      <c r="N304">
        <v>1228.18</v>
      </c>
      <c r="O304" t="s">
        <v>36</v>
      </c>
      <c r="P304" s="2" t="s">
        <v>30</v>
      </c>
      <c r="Q304" s="2" t="s">
        <v>24</v>
      </c>
    </row>
    <row r="305" spans="1:17" hidden="1" x14ac:dyDescent="0.3">
      <c r="A305">
        <v>202401059</v>
      </c>
      <c r="B305" s="1">
        <v>45471</v>
      </c>
      <c r="C305">
        <v>2024</v>
      </c>
      <c r="D305">
        <v>2</v>
      </c>
      <c r="E305">
        <v>6</v>
      </c>
      <c r="F305">
        <v>72</v>
      </c>
      <c r="G305" s="2" t="s">
        <v>100</v>
      </c>
      <c r="H305" s="2" t="s">
        <v>140</v>
      </c>
      <c r="I305" s="2" t="s">
        <v>33</v>
      </c>
      <c r="J305" s="2" t="s">
        <v>34</v>
      </c>
      <c r="K305" s="2" t="s">
        <v>58</v>
      </c>
      <c r="L305">
        <v>1</v>
      </c>
      <c r="M305">
        <v>190.69</v>
      </c>
      <c r="N305">
        <v>190.69</v>
      </c>
      <c r="O305" t="s">
        <v>36</v>
      </c>
      <c r="P305" s="2" t="s">
        <v>43</v>
      </c>
      <c r="Q305" s="2" t="s">
        <v>24</v>
      </c>
    </row>
    <row r="306" spans="1:17" x14ac:dyDescent="0.3">
      <c r="A306">
        <v>202400858</v>
      </c>
      <c r="B306" s="1">
        <v>45297</v>
      </c>
      <c r="C306">
        <v>2024</v>
      </c>
      <c r="D306">
        <v>1</v>
      </c>
      <c r="E306">
        <v>1</v>
      </c>
      <c r="F306">
        <v>80</v>
      </c>
      <c r="G306" s="2" t="s">
        <v>76</v>
      </c>
      <c r="H306" s="2" t="s">
        <v>26</v>
      </c>
      <c r="I306" s="2" t="s">
        <v>54</v>
      </c>
      <c r="J306" s="2" t="s">
        <v>20</v>
      </c>
      <c r="K306" s="2" t="s">
        <v>51</v>
      </c>
      <c r="L306">
        <v>4</v>
      </c>
      <c r="M306">
        <v>987.88</v>
      </c>
      <c r="N306">
        <v>3951.52</v>
      </c>
      <c r="O306" t="s">
        <v>29</v>
      </c>
      <c r="P306" s="2" t="s">
        <v>43</v>
      </c>
      <c r="Q306" s="2" t="s">
        <v>24</v>
      </c>
    </row>
    <row r="307" spans="1:17" x14ac:dyDescent="0.3">
      <c r="A307">
        <v>202400746</v>
      </c>
      <c r="B307" s="1">
        <v>45297</v>
      </c>
      <c r="C307">
        <v>2024</v>
      </c>
      <c r="D307">
        <v>1</v>
      </c>
      <c r="E307">
        <v>1</v>
      </c>
      <c r="F307">
        <v>75</v>
      </c>
      <c r="G307" s="2" t="s">
        <v>84</v>
      </c>
      <c r="H307" s="2" t="s">
        <v>62</v>
      </c>
      <c r="I307" s="2" t="s">
        <v>85</v>
      </c>
      <c r="J307" s="2" t="s">
        <v>57</v>
      </c>
      <c r="K307" s="2" t="s">
        <v>39</v>
      </c>
      <c r="L307">
        <v>10</v>
      </c>
      <c r="M307">
        <v>1316.73</v>
      </c>
      <c r="N307">
        <v>13167.3</v>
      </c>
      <c r="O307" t="s">
        <v>22</v>
      </c>
      <c r="P307" s="2" t="s">
        <v>43</v>
      </c>
      <c r="Q307" s="2" t="s">
        <v>40</v>
      </c>
    </row>
    <row r="308" spans="1:17" hidden="1" x14ac:dyDescent="0.3">
      <c r="A308">
        <v>202400622</v>
      </c>
      <c r="B308" s="1">
        <v>45596</v>
      </c>
      <c r="C308">
        <v>2024</v>
      </c>
      <c r="D308">
        <v>4</v>
      </c>
      <c r="E308">
        <v>10</v>
      </c>
      <c r="F308">
        <v>78</v>
      </c>
      <c r="G308" s="2" t="s">
        <v>131</v>
      </c>
      <c r="H308" s="2" t="s">
        <v>69</v>
      </c>
      <c r="I308" s="2" t="s">
        <v>19</v>
      </c>
      <c r="J308" s="2" t="s">
        <v>20</v>
      </c>
      <c r="K308" s="2" t="s">
        <v>59</v>
      </c>
      <c r="L308">
        <v>12</v>
      </c>
      <c r="M308">
        <v>31.55</v>
      </c>
      <c r="N308">
        <v>378.6</v>
      </c>
      <c r="O308" t="s">
        <v>22</v>
      </c>
      <c r="P308" s="2" t="s">
        <v>30</v>
      </c>
      <c r="Q308" s="2" t="s">
        <v>24</v>
      </c>
    </row>
    <row r="309" spans="1:17" hidden="1" x14ac:dyDescent="0.3">
      <c r="A309">
        <v>202400228</v>
      </c>
      <c r="B309" s="1">
        <v>45399</v>
      </c>
      <c r="C309">
        <v>2024</v>
      </c>
      <c r="D309">
        <v>2</v>
      </c>
      <c r="E309">
        <v>4</v>
      </c>
      <c r="F309">
        <v>47</v>
      </c>
      <c r="G309" s="2" t="s">
        <v>120</v>
      </c>
      <c r="H309" s="2" t="s">
        <v>140</v>
      </c>
      <c r="I309" s="2" t="s">
        <v>38</v>
      </c>
      <c r="J309" s="2" t="s">
        <v>20</v>
      </c>
      <c r="K309" s="2" t="s">
        <v>60</v>
      </c>
      <c r="L309">
        <v>13</v>
      </c>
      <c r="M309">
        <v>1772.58</v>
      </c>
      <c r="N309">
        <v>23043.54</v>
      </c>
      <c r="O309" t="s">
        <v>22</v>
      </c>
      <c r="P309" s="2" t="s">
        <v>30</v>
      </c>
      <c r="Q309" s="2" t="s">
        <v>40</v>
      </c>
    </row>
    <row r="310" spans="1:17" hidden="1" x14ac:dyDescent="0.3">
      <c r="A310">
        <v>202400846</v>
      </c>
      <c r="B310" s="1">
        <v>45635</v>
      </c>
      <c r="C310">
        <v>2024</v>
      </c>
      <c r="D310">
        <v>4</v>
      </c>
      <c r="E310">
        <v>12</v>
      </c>
      <c r="F310">
        <v>31</v>
      </c>
      <c r="G310" s="2" t="s">
        <v>127</v>
      </c>
      <c r="H310" s="2" t="s">
        <v>69</v>
      </c>
      <c r="I310" s="2" t="s">
        <v>54</v>
      </c>
      <c r="J310" s="2" t="s">
        <v>20</v>
      </c>
      <c r="K310" s="2" t="s">
        <v>28</v>
      </c>
      <c r="L310">
        <v>9</v>
      </c>
      <c r="M310">
        <v>372.52</v>
      </c>
      <c r="N310">
        <v>3352.68</v>
      </c>
      <c r="O310" t="s">
        <v>29</v>
      </c>
      <c r="P310" s="2" t="s">
        <v>23</v>
      </c>
      <c r="Q310" s="2" t="s">
        <v>24</v>
      </c>
    </row>
    <row r="311" spans="1:17" x14ac:dyDescent="0.3">
      <c r="A311">
        <v>202401033</v>
      </c>
      <c r="B311" s="1">
        <v>45321</v>
      </c>
      <c r="C311">
        <v>2024</v>
      </c>
      <c r="D311">
        <v>1</v>
      </c>
      <c r="E311">
        <v>1</v>
      </c>
      <c r="F311">
        <v>62</v>
      </c>
      <c r="G311" s="2" t="s">
        <v>118</v>
      </c>
      <c r="H311" s="2" t="s">
        <v>18</v>
      </c>
      <c r="I311" s="2" t="s">
        <v>54</v>
      </c>
      <c r="J311" s="2" t="s">
        <v>20</v>
      </c>
      <c r="K311" s="2" t="s">
        <v>35</v>
      </c>
      <c r="L311">
        <v>4</v>
      </c>
      <c r="M311">
        <v>277.14</v>
      </c>
      <c r="N311">
        <v>1108.56</v>
      </c>
      <c r="O311" t="s">
        <v>29</v>
      </c>
      <c r="P311" s="2" t="s">
        <v>23</v>
      </c>
      <c r="Q311" s="2" t="s">
        <v>45</v>
      </c>
    </row>
    <row r="312" spans="1:17" hidden="1" x14ac:dyDescent="0.3">
      <c r="A312">
        <v>202400655</v>
      </c>
      <c r="B312" s="1">
        <v>45554</v>
      </c>
      <c r="C312">
        <v>2024</v>
      </c>
      <c r="D312">
        <v>3</v>
      </c>
      <c r="E312">
        <v>9</v>
      </c>
      <c r="F312">
        <v>78</v>
      </c>
      <c r="G312" s="2" t="s">
        <v>131</v>
      </c>
      <c r="H312" s="2" t="s">
        <v>69</v>
      </c>
      <c r="I312" s="2" t="s">
        <v>19</v>
      </c>
      <c r="J312" s="2" t="s">
        <v>20</v>
      </c>
      <c r="K312" s="2" t="s">
        <v>21</v>
      </c>
      <c r="L312">
        <v>9</v>
      </c>
      <c r="M312">
        <v>695.64</v>
      </c>
      <c r="N312">
        <v>6260.76</v>
      </c>
      <c r="O312" t="s">
        <v>29</v>
      </c>
      <c r="P312" s="2" t="s">
        <v>43</v>
      </c>
      <c r="Q312" s="2" t="s">
        <v>24</v>
      </c>
    </row>
    <row r="313" spans="1:17" hidden="1" x14ac:dyDescent="0.3">
      <c r="A313">
        <v>202400399</v>
      </c>
      <c r="B313" s="1">
        <v>45520</v>
      </c>
      <c r="C313">
        <v>2024</v>
      </c>
      <c r="D313">
        <v>3</v>
      </c>
      <c r="E313">
        <v>8</v>
      </c>
      <c r="F313">
        <v>61</v>
      </c>
      <c r="G313" s="2" t="s">
        <v>90</v>
      </c>
      <c r="H313" s="2" t="s">
        <v>69</v>
      </c>
      <c r="I313" s="2" t="s">
        <v>65</v>
      </c>
      <c r="J313" s="2" t="s">
        <v>34</v>
      </c>
      <c r="K313" s="2" t="s">
        <v>59</v>
      </c>
      <c r="L313">
        <v>3</v>
      </c>
      <c r="M313">
        <v>1520.85</v>
      </c>
      <c r="N313">
        <v>4562.5499999999993</v>
      </c>
      <c r="O313" t="s">
        <v>29</v>
      </c>
      <c r="P313" s="2" t="s">
        <v>43</v>
      </c>
      <c r="Q313" s="2" t="s">
        <v>49</v>
      </c>
    </row>
    <row r="314" spans="1:17" hidden="1" x14ac:dyDescent="0.3">
      <c r="A314">
        <v>202400067</v>
      </c>
      <c r="B314" s="1">
        <v>45490</v>
      </c>
      <c r="C314">
        <v>2024</v>
      </c>
      <c r="D314">
        <v>3</v>
      </c>
      <c r="E314">
        <v>7</v>
      </c>
      <c r="F314">
        <v>15</v>
      </c>
      <c r="G314" s="2" t="s">
        <v>115</v>
      </c>
      <c r="H314" s="2" t="s">
        <v>140</v>
      </c>
      <c r="I314" s="2" t="s">
        <v>19</v>
      </c>
      <c r="J314" s="2" t="s">
        <v>20</v>
      </c>
      <c r="K314" s="2" t="s">
        <v>35</v>
      </c>
      <c r="L314">
        <v>14</v>
      </c>
      <c r="M314">
        <v>165.62</v>
      </c>
      <c r="N314">
        <v>2318.6800000000003</v>
      </c>
      <c r="O314" t="s">
        <v>22</v>
      </c>
      <c r="P314" s="2" t="s">
        <v>43</v>
      </c>
      <c r="Q314" s="2" t="s">
        <v>49</v>
      </c>
    </row>
    <row r="315" spans="1:17" hidden="1" x14ac:dyDescent="0.3">
      <c r="A315">
        <v>202400068</v>
      </c>
      <c r="B315" s="1">
        <v>45650</v>
      </c>
      <c r="C315">
        <v>2024</v>
      </c>
      <c r="D315">
        <v>4</v>
      </c>
      <c r="E315">
        <v>12</v>
      </c>
      <c r="F315">
        <v>32</v>
      </c>
      <c r="G315" s="2" t="s">
        <v>93</v>
      </c>
      <c r="H315" s="2" t="s">
        <v>26</v>
      </c>
      <c r="I315" s="2" t="s">
        <v>65</v>
      </c>
      <c r="J315" s="2" t="s">
        <v>34</v>
      </c>
      <c r="K315" s="2" t="s">
        <v>52</v>
      </c>
      <c r="L315">
        <v>12</v>
      </c>
      <c r="M315">
        <v>1010.72</v>
      </c>
      <c r="N315">
        <v>12128.64</v>
      </c>
      <c r="O315" t="s">
        <v>22</v>
      </c>
      <c r="P315" s="2" t="s">
        <v>43</v>
      </c>
      <c r="Q315" s="2" t="s">
        <v>24</v>
      </c>
    </row>
    <row r="316" spans="1:17" x14ac:dyDescent="0.3">
      <c r="A316">
        <v>202400378</v>
      </c>
      <c r="B316" s="1">
        <v>45363</v>
      </c>
      <c r="C316">
        <v>2024</v>
      </c>
      <c r="D316">
        <v>1</v>
      </c>
      <c r="E316">
        <v>3</v>
      </c>
      <c r="F316">
        <v>66</v>
      </c>
      <c r="G316" s="2" t="s">
        <v>107</v>
      </c>
      <c r="H316" s="2" t="s">
        <v>69</v>
      </c>
      <c r="I316" s="2" t="s">
        <v>78</v>
      </c>
      <c r="J316" s="2" t="s">
        <v>75</v>
      </c>
      <c r="K316" s="2" t="s">
        <v>97</v>
      </c>
      <c r="L316">
        <v>5</v>
      </c>
      <c r="M316">
        <v>886.24</v>
      </c>
      <c r="N316">
        <v>4431.2</v>
      </c>
      <c r="O316" t="s">
        <v>29</v>
      </c>
      <c r="P316" s="2" t="s">
        <v>43</v>
      </c>
      <c r="Q316" s="2" t="s">
        <v>24</v>
      </c>
    </row>
    <row r="317" spans="1:17" hidden="1" x14ac:dyDescent="0.3">
      <c r="A317">
        <v>202400212</v>
      </c>
      <c r="B317" s="1">
        <v>45458</v>
      </c>
      <c r="C317">
        <v>2024</v>
      </c>
      <c r="D317">
        <v>2</v>
      </c>
      <c r="E317">
        <v>6</v>
      </c>
      <c r="F317">
        <v>52</v>
      </c>
      <c r="G317" s="2" t="s">
        <v>105</v>
      </c>
      <c r="H317" s="2" t="s">
        <v>62</v>
      </c>
      <c r="I317" s="2" t="s">
        <v>78</v>
      </c>
      <c r="J317" s="2" t="s">
        <v>75</v>
      </c>
      <c r="K317" s="2" t="s">
        <v>52</v>
      </c>
      <c r="L317">
        <v>8</v>
      </c>
      <c r="M317">
        <v>552.69000000000005</v>
      </c>
      <c r="N317">
        <v>4421.5200000000004</v>
      </c>
      <c r="O317" t="s">
        <v>29</v>
      </c>
      <c r="P317" s="2" t="s">
        <v>43</v>
      </c>
      <c r="Q317" s="2" t="s">
        <v>41</v>
      </c>
    </row>
    <row r="318" spans="1:17" hidden="1" x14ac:dyDescent="0.3">
      <c r="A318">
        <v>202400013</v>
      </c>
      <c r="B318" s="1">
        <v>45512</v>
      </c>
      <c r="C318">
        <v>2024</v>
      </c>
      <c r="D318">
        <v>3</v>
      </c>
      <c r="E318">
        <v>8</v>
      </c>
      <c r="F318">
        <v>44</v>
      </c>
      <c r="G318" s="2" t="s">
        <v>129</v>
      </c>
      <c r="H318" s="2" t="s">
        <v>140</v>
      </c>
      <c r="I318" s="2" t="s">
        <v>27</v>
      </c>
      <c r="J318" s="2" t="s">
        <v>20</v>
      </c>
      <c r="K318" s="2" t="s">
        <v>42</v>
      </c>
      <c r="L318">
        <v>6</v>
      </c>
      <c r="M318">
        <v>77.760000000000005</v>
      </c>
      <c r="N318">
        <v>466.56000000000006</v>
      </c>
      <c r="O318" t="s">
        <v>29</v>
      </c>
      <c r="P318" s="2" t="s">
        <v>43</v>
      </c>
      <c r="Q318" s="2" t="s">
        <v>24</v>
      </c>
    </row>
    <row r="319" spans="1:17" x14ac:dyDescent="0.3">
      <c r="A319">
        <v>202401071</v>
      </c>
      <c r="B319" s="1">
        <v>45301</v>
      </c>
      <c r="C319">
        <v>2024</v>
      </c>
      <c r="D319">
        <v>1</v>
      </c>
      <c r="E319">
        <v>1</v>
      </c>
      <c r="F319">
        <v>76</v>
      </c>
      <c r="G319" s="2" t="s">
        <v>104</v>
      </c>
      <c r="H319" s="2" t="s">
        <v>140</v>
      </c>
      <c r="I319" s="2" t="s">
        <v>33</v>
      </c>
      <c r="J319" s="2" t="s">
        <v>34</v>
      </c>
      <c r="K319" s="2" t="s">
        <v>21</v>
      </c>
      <c r="L319">
        <v>3</v>
      </c>
      <c r="M319">
        <v>1331.24</v>
      </c>
      <c r="N319">
        <v>3993.7200000000003</v>
      </c>
      <c r="O319" t="s">
        <v>29</v>
      </c>
      <c r="P319" s="2" t="s">
        <v>48</v>
      </c>
      <c r="Q319" s="2" t="s">
        <v>41</v>
      </c>
    </row>
    <row r="320" spans="1:17" x14ac:dyDescent="0.3">
      <c r="A320">
        <v>202400831</v>
      </c>
      <c r="B320" s="1">
        <v>45292</v>
      </c>
      <c r="C320">
        <v>2024</v>
      </c>
      <c r="D320">
        <v>1</v>
      </c>
      <c r="E320">
        <v>1</v>
      </c>
      <c r="F320">
        <v>14</v>
      </c>
      <c r="G320" s="2" t="s">
        <v>106</v>
      </c>
      <c r="H320" s="2" t="s">
        <v>26</v>
      </c>
      <c r="I320" s="2" t="s">
        <v>54</v>
      </c>
      <c r="J320" s="2" t="s">
        <v>20</v>
      </c>
      <c r="K320" s="2" t="s">
        <v>21</v>
      </c>
      <c r="L320">
        <v>10</v>
      </c>
      <c r="M320">
        <v>1439.04</v>
      </c>
      <c r="N320">
        <v>14390.4</v>
      </c>
      <c r="O320" t="s">
        <v>22</v>
      </c>
      <c r="P320" s="2" t="s">
        <v>43</v>
      </c>
      <c r="Q320" s="2" t="s">
        <v>24</v>
      </c>
    </row>
    <row r="321" spans="1:17" hidden="1" x14ac:dyDescent="0.3">
      <c r="A321">
        <v>202400523</v>
      </c>
      <c r="B321" s="1">
        <v>45484</v>
      </c>
      <c r="C321">
        <v>2024</v>
      </c>
      <c r="D321">
        <v>3</v>
      </c>
      <c r="E321">
        <v>7</v>
      </c>
      <c r="F321">
        <v>43</v>
      </c>
      <c r="G321" s="2" t="s">
        <v>100</v>
      </c>
      <c r="H321" s="2" t="s">
        <v>69</v>
      </c>
      <c r="I321" s="2" t="s">
        <v>54</v>
      </c>
      <c r="J321" s="2" t="s">
        <v>20</v>
      </c>
      <c r="K321" s="2" t="s">
        <v>35</v>
      </c>
      <c r="L321">
        <v>1</v>
      </c>
      <c r="M321">
        <v>1269.3599999999999</v>
      </c>
      <c r="N321">
        <v>1269.3599999999999</v>
      </c>
      <c r="O321" t="s">
        <v>36</v>
      </c>
      <c r="P321" s="2" t="s">
        <v>43</v>
      </c>
      <c r="Q321" s="2" t="s">
        <v>40</v>
      </c>
    </row>
    <row r="322" spans="1:17" hidden="1" x14ac:dyDescent="0.3">
      <c r="A322">
        <v>202400863</v>
      </c>
      <c r="B322" s="1">
        <v>45466</v>
      </c>
      <c r="C322">
        <v>2024</v>
      </c>
      <c r="D322">
        <v>2</v>
      </c>
      <c r="E322">
        <v>6</v>
      </c>
      <c r="F322">
        <v>26</v>
      </c>
      <c r="G322" s="2" t="s">
        <v>89</v>
      </c>
      <c r="H322" s="2" t="s">
        <v>62</v>
      </c>
      <c r="I322" s="2" t="s">
        <v>67</v>
      </c>
      <c r="J322" s="2" t="s">
        <v>20</v>
      </c>
      <c r="K322" s="2" t="s">
        <v>47</v>
      </c>
      <c r="L322">
        <v>7</v>
      </c>
      <c r="M322">
        <v>724.43</v>
      </c>
      <c r="N322">
        <v>5071.0099999999993</v>
      </c>
      <c r="O322" t="s">
        <v>29</v>
      </c>
      <c r="P322" s="2" t="s">
        <v>30</v>
      </c>
      <c r="Q322" s="2" t="s">
        <v>41</v>
      </c>
    </row>
    <row r="323" spans="1:17" hidden="1" x14ac:dyDescent="0.3">
      <c r="A323">
        <v>202401086</v>
      </c>
      <c r="B323" s="1">
        <v>45471</v>
      </c>
      <c r="C323">
        <v>2024</v>
      </c>
      <c r="D323">
        <v>2</v>
      </c>
      <c r="E323">
        <v>6</v>
      </c>
      <c r="F323">
        <v>13</v>
      </c>
      <c r="G323" s="2" t="s">
        <v>72</v>
      </c>
      <c r="H323" s="2" t="s">
        <v>69</v>
      </c>
      <c r="I323" s="2" t="s">
        <v>38</v>
      </c>
      <c r="J323" s="2" t="s">
        <v>20</v>
      </c>
      <c r="K323" s="2" t="s">
        <v>21</v>
      </c>
      <c r="L323">
        <v>8</v>
      </c>
      <c r="M323">
        <v>730.64</v>
      </c>
      <c r="N323">
        <v>5845.12</v>
      </c>
      <c r="O323" t="s">
        <v>29</v>
      </c>
      <c r="P323" s="2" t="s">
        <v>43</v>
      </c>
      <c r="Q323" s="2" t="s">
        <v>40</v>
      </c>
    </row>
    <row r="324" spans="1:17" hidden="1" x14ac:dyDescent="0.3">
      <c r="A324">
        <v>202400827</v>
      </c>
      <c r="B324" s="1">
        <v>45632</v>
      </c>
      <c r="C324">
        <v>2024</v>
      </c>
      <c r="D324">
        <v>4</v>
      </c>
      <c r="E324">
        <v>12</v>
      </c>
      <c r="F324">
        <v>2</v>
      </c>
      <c r="G324" s="2" t="s">
        <v>32</v>
      </c>
      <c r="H324" s="2" t="s">
        <v>140</v>
      </c>
      <c r="I324" s="2" t="s">
        <v>33</v>
      </c>
      <c r="J324" s="2" t="s">
        <v>34</v>
      </c>
      <c r="K324" s="2" t="s">
        <v>97</v>
      </c>
      <c r="L324">
        <v>4</v>
      </c>
      <c r="M324">
        <v>1760.6</v>
      </c>
      <c r="N324">
        <v>7042.4</v>
      </c>
      <c r="O324" t="s">
        <v>29</v>
      </c>
      <c r="P324" s="2" t="s">
        <v>43</v>
      </c>
      <c r="Q324" s="2" t="s">
        <v>31</v>
      </c>
    </row>
    <row r="325" spans="1:17" hidden="1" x14ac:dyDescent="0.3">
      <c r="A325">
        <v>202401180</v>
      </c>
      <c r="B325" s="1">
        <v>45536</v>
      </c>
      <c r="C325">
        <v>2024</v>
      </c>
      <c r="D325">
        <v>3</v>
      </c>
      <c r="E325">
        <v>9</v>
      </c>
      <c r="F325">
        <v>75</v>
      </c>
      <c r="G325" s="2" t="s">
        <v>84</v>
      </c>
      <c r="H325" s="2" t="s">
        <v>62</v>
      </c>
      <c r="I325" s="2" t="s">
        <v>85</v>
      </c>
      <c r="J325" s="2" t="s">
        <v>57</v>
      </c>
      <c r="K325" s="2" t="s">
        <v>58</v>
      </c>
      <c r="L325">
        <v>2</v>
      </c>
      <c r="M325">
        <v>832.26</v>
      </c>
      <c r="N325">
        <v>1664.52</v>
      </c>
      <c r="O325" t="s">
        <v>36</v>
      </c>
      <c r="P325" s="2" t="s">
        <v>43</v>
      </c>
      <c r="Q325" s="2" t="s">
        <v>31</v>
      </c>
    </row>
    <row r="326" spans="1:17" hidden="1" x14ac:dyDescent="0.3">
      <c r="A326">
        <v>202401149</v>
      </c>
      <c r="B326" s="1">
        <v>45530</v>
      </c>
      <c r="C326">
        <v>2024</v>
      </c>
      <c r="D326">
        <v>3</v>
      </c>
      <c r="E326">
        <v>8</v>
      </c>
      <c r="F326">
        <v>7</v>
      </c>
      <c r="G326" s="2" t="s">
        <v>25</v>
      </c>
      <c r="H326" s="2" t="s">
        <v>26</v>
      </c>
      <c r="I326" s="2" t="s">
        <v>27</v>
      </c>
      <c r="J326" s="2" t="s">
        <v>20</v>
      </c>
      <c r="K326" s="2" t="s">
        <v>35</v>
      </c>
      <c r="L326">
        <v>6</v>
      </c>
      <c r="M326">
        <v>1023.57</v>
      </c>
      <c r="N326">
        <v>6141.42</v>
      </c>
      <c r="O326" t="s">
        <v>29</v>
      </c>
      <c r="P326" s="2" t="s">
        <v>30</v>
      </c>
      <c r="Q326" s="2" t="s">
        <v>24</v>
      </c>
    </row>
    <row r="327" spans="1:17" hidden="1" x14ac:dyDescent="0.3">
      <c r="A327">
        <v>202400363</v>
      </c>
      <c r="B327" s="1">
        <v>45475</v>
      </c>
      <c r="C327">
        <v>2024</v>
      </c>
      <c r="D327">
        <v>3</v>
      </c>
      <c r="E327">
        <v>7</v>
      </c>
      <c r="F327">
        <v>62</v>
      </c>
      <c r="G327" s="2" t="s">
        <v>118</v>
      </c>
      <c r="H327" s="2" t="s">
        <v>18</v>
      </c>
      <c r="I327" s="2" t="s">
        <v>54</v>
      </c>
      <c r="J327" s="2" t="s">
        <v>20</v>
      </c>
      <c r="K327" s="2" t="s">
        <v>58</v>
      </c>
      <c r="L327">
        <v>5</v>
      </c>
      <c r="M327">
        <v>215.9</v>
      </c>
      <c r="N327">
        <v>1079.5</v>
      </c>
      <c r="O327" t="s">
        <v>29</v>
      </c>
      <c r="P327" s="2" t="s">
        <v>43</v>
      </c>
      <c r="Q327" s="2" t="s">
        <v>24</v>
      </c>
    </row>
    <row r="328" spans="1:17" x14ac:dyDescent="0.3">
      <c r="A328">
        <v>202401084</v>
      </c>
      <c r="B328" s="1">
        <v>45355</v>
      </c>
      <c r="C328">
        <v>2024</v>
      </c>
      <c r="D328">
        <v>1</v>
      </c>
      <c r="E328">
        <v>3</v>
      </c>
      <c r="F328">
        <v>28</v>
      </c>
      <c r="G328" s="2" t="s">
        <v>114</v>
      </c>
      <c r="H328" s="2" t="s">
        <v>62</v>
      </c>
      <c r="I328" s="2" t="s">
        <v>33</v>
      </c>
      <c r="J328" s="2" t="s">
        <v>34</v>
      </c>
      <c r="K328" s="2" t="s">
        <v>39</v>
      </c>
      <c r="L328">
        <v>5</v>
      </c>
      <c r="M328">
        <v>39.24</v>
      </c>
      <c r="N328">
        <v>196.20000000000002</v>
      </c>
      <c r="O328" t="s">
        <v>29</v>
      </c>
      <c r="P328" s="2" t="s">
        <v>30</v>
      </c>
      <c r="Q328" s="2" t="s">
        <v>40</v>
      </c>
    </row>
    <row r="329" spans="1:17" hidden="1" x14ac:dyDescent="0.3">
      <c r="A329">
        <v>202400472</v>
      </c>
      <c r="B329" s="1">
        <v>45479</v>
      </c>
      <c r="C329">
        <v>2024</v>
      </c>
      <c r="D329">
        <v>3</v>
      </c>
      <c r="E329">
        <v>7</v>
      </c>
      <c r="F329">
        <v>42</v>
      </c>
      <c r="G329" s="2" t="s">
        <v>46</v>
      </c>
      <c r="H329" s="2" t="s">
        <v>26</v>
      </c>
      <c r="I329" s="2" t="s">
        <v>38</v>
      </c>
      <c r="J329" s="2" t="s">
        <v>20</v>
      </c>
      <c r="K329" s="2" t="s">
        <v>60</v>
      </c>
      <c r="L329">
        <v>3</v>
      </c>
      <c r="M329">
        <v>1043.18</v>
      </c>
      <c r="N329">
        <v>3129.54</v>
      </c>
      <c r="O329" t="s">
        <v>29</v>
      </c>
      <c r="P329" s="2" t="s">
        <v>43</v>
      </c>
      <c r="Q329" s="2" t="s">
        <v>24</v>
      </c>
    </row>
    <row r="330" spans="1:17" hidden="1" x14ac:dyDescent="0.3">
      <c r="A330">
        <v>202400582</v>
      </c>
      <c r="B330" s="1">
        <v>45502</v>
      </c>
      <c r="C330">
        <v>2024</v>
      </c>
      <c r="D330">
        <v>3</v>
      </c>
      <c r="E330">
        <v>7</v>
      </c>
      <c r="F330">
        <v>57</v>
      </c>
      <c r="G330" s="2" t="s">
        <v>53</v>
      </c>
      <c r="H330" s="2" t="s">
        <v>18</v>
      </c>
      <c r="I330" s="2" t="s">
        <v>54</v>
      </c>
      <c r="J330" s="2" t="s">
        <v>20</v>
      </c>
      <c r="K330" s="2" t="s">
        <v>97</v>
      </c>
      <c r="L330">
        <v>12</v>
      </c>
      <c r="M330">
        <v>521.91</v>
      </c>
      <c r="N330">
        <v>6262.92</v>
      </c>
      <c r="O330" t="s">
        <v>22</v>
      </c>
      <c r="P330" s="2" t="s">
        <v>30</v>
      </c>
      <c r="Q330" s="2" t="s">
        <v>24</v>
      </c>
    </row>
    <row r="331" spans="1:17" hidden="1" x14ac:dyDescent="0.3">
      <c r="A331">
        <v>202400662</v>
      </c>
      <c r="B331" s="1">
        <v>45404</v>
      </c>
      <c r="C331">
        <v>2024</v>
      </c>
      <c r="D331">
        <v>2</v>
      </c>
      <c r="E331">
        <v>4</v>
      </c>
      <c r="F331">
        <v>7</v>
      </c>
      <c r="G331" s="2" t="s">
        <v>25</v>
      </c>
      <c r="H331" s="2" t="s">
        <v>26</v>
      </c>
      <c r="I331" s="2" t="s">
        <v>27</v>
      </c>
      <c r="J331" s="2" t="s">
        <v>20</v>
      </c>
      <c r="K331" s="2" t="s">
        <v>60</v>
      </c>
      <c r="L331">
        <v>12</v>
      </c>
      <c r="M331">
        <v>1910.35</v>
      </c>
      <c r="N331">
        <v>22924.199999999997</v>
      </c>
      <c r="O331" t="s">
        <v>22</v>
      </c>
      <c r="P331" s="2" t="s">
        <v>30</v>
      </c>
      <c r="Q331" s="2" t="s">
        <v>24</v>
      </c>
    </row>
    <row r="332" spans="1:17" x14ac:dyDescent="0.3">
      <c r="A332">
        <v>202400274</v>
      </c>
      <c r="B332" s="1">
        <v>45382</v>
      </c>
      <c r="C332">
        <v>2024</v>
      </c>
      <c r="D332">
        <v>1</v>
      </c>
      <c r="E332">
        <v>3</v>
      </c>
      <c r="F332">
        <v>48</v>
      </c>
      <c r="G332" s="2" t="s">
        <v>82</v>
      </c>
      <c r="H332" s="2" t="s">
        <v>140</v>
      </c>
      <c r="I332" s="2" t="s">
        <v>78</v>
      </c>
      <c r="J332" s="2" t="s">
        <v>75</v>
      </c>
      <c r="K332" s="2" t="s">
        <v>71</v>
      </c>
      <c r="L332">
        <v>1</v>
      </c>
      <c r="M332">
        <v>719.99</v>
      </c>
      <c r="N332">
        <v>719.99</v>
      </c>
      <c r="O332" t="s">
        <v>36</v>
      </c>
      <c r="P332" s="2" t="s">
        <v>30</v>
      </c>
      <c r="Q332" s="2" t="s">
        <v>24</v>
      </c>
    </row>
    <row r="333" spans="1:17" x14ac:dyDescent="0.3">
      <c r="A333">
        <v>202400527</v>
      </c>
      <c r="B333" s="1">
        <v>45363</v>
      </c>
      <c r="C333">
        <v>2024</v>
      </c>
      <c r="D333">
        <v>1</v>
      </c>
      <c r="E333">
        <v>3</v>
      </c>
      <c r="F333">
        <v>47</v>
      </c>
      <c r="G333" s="2" t="s">
        <v>120</v>
      </c>
      <c r="H333" s="2" t="s">
        <v>140</v>
      </c>
      <c r="I333" s="2" t="s">
        <v>38</v>
      </c>
      <c r="J333" s="2" t="s">
        <v>20</v>
      </c>
      <c r="K333" s="2" t="s">
        <v>39</v>
      </c>
      <c r="L333">
        <v>2</v>
      </c>
      <c r="M333">
        <v>1405.25</v>
      </c>
      <c r="N333">
        <v>2810.5</v>
      </c>
      <c r="O333" t="s">
        <v>36</v>
      </c>
      <c r="P333" s="2" t="s">
        <v>30</v>
      </c>
      <c r="Q333" s="2" t="s">
        <v>24</v>
      </c>
    </row>
    <row r="334" spans="1:17" hidden="1" x14ac:dyDescent="0.3">
      <c r="A334">
        <v>202400238</v>
      </c>
      <c r="B334" s="1">
        <v>45465</v>
      </c>
      <c r="C334">
        <v>2024</v>
      </c>
      <c r="D334">
        <v>2</v>
      </c>
      <c r="E334">
        <v>6</v>
      </c>
      <c r="F334">
        <v>10</v>
      </c>
      <c r="G334" s="2" t="s">
        <v>17</v>
      </c>
      <c r="H334" s="2" t="s">
        <v>18</v>
      </c>
      <c r="I334" s="2" t="s">
        <v>19</v>
      </c>
      <c r="J334" s="2" t="s">
        <v>20</v>
      </c>
      <c r="K334" s="2" t="s">
        <v>21</v>
      </c>
      <c r="L334">
        <v>11</v>
      </c>
      <c r="M334">
        <v>723.24</v>
      </c>
      <c r="N334">
        <v>7955.64</v>
      </c>
      <c r="O334" t="s">
        <v>22</v>
      </c>
      <c r="P334" s="2" t="s">
        <v>43</v>
      </c>
      <c r="Q334" s="2" t="s">
        <v>24</v>
      </c>
    </row>
    <row r="335" spans="1:17" x14ac:dyDescent="0.3">
      <c r="A335">
        <v>202400762</v>
      </c>
      <c r="B335" s="1">
        <v>45317</v>
      </c>
      <c r="C335">
        <v>2024</v>
      </c>
      <c r="D335">
        <v>1</v>
      </c>
      <c r="E335">
        <v>1</v>
      </c>
      <c r="F335">
        <v>52</v>
      </c>
      <c r="G335" s="2" t="s">
        <v>105</v>
      </c>
      <c r="H335" s="2" t="s">
        <v>62</v>
      </c>
      <c r="I335" s="2" t="s">
        <v>78</v>
      </c>
      <c r="J335" s="2" t="s">
        <v>75</v>
      </c>
      <c r="K335" s="2" t="s">
        <v>70</v>
      </c>
      <c r="L335">
        <v>6</v>
      </c>
      <c r="M335">
        <v>104.11</v>
      </c>
      <c r="N335">
        <v>624.66</v>
      </c>
      <c r="O335" t="s">
        <v>29</v>
      </c>
      <c r="P335" s="2" t="s">
        <v>48</v>
      </c>
      <c r="Q335" s="2" t="s">
        <v>31</v>
      </c>
    </row>
    <row r="336" spans="1:17" hidden="1" x14ac:dyDescent="0.3">
      <c r="A336">
        <v>202400007</v>
      </c>
      <c r="B336" s="1">
        <v>45396</v>
      </c>
      <c r="C336">
        <v>2024</v>
      </c>
      <c r="D336">
        <v>2</v>
      </c>
      <c r="E336">
        <v>4</v>
      </c>
      <c r="F336">
        <v>67</v>
      </c>
      <c r="G336" s="2" t="s">
        <v>124</v>
      </c>
      <c r="H336" s="2" t="s">
        <v>69</v>
      </c>
      <c r="I336" s="2" t="s">
        <v>54</v>
      </c>
      <c r="J336" s="2" t="s">
        <v>20</v>
      </c>
      <c r="K336" s="2" t="s">
        <v>52</v>
      </c>
      <c r="L336">
        <v>14</v>
      </c>
      <c r="M336">
        <v>548.39</v>
      </c>
      <c r="N336">
        <v>7677.46</v>
      </c>
      <c r="O336" t="s">
        <v>22</v>
      </c>
      <c r="P336" s="2" t="s">
        <v>43</v>
      </c>
      <c r="Q336" s="2" t="s">
        <v>45</v>
      </c>
    </row>
    <row r="337" spans="1:17" hidden="1" x14ac:dyDescent="0.3">
      <c r="A337">
        <v>202400312</v>
      </c>
      <c r="B337" s="1">
        <v>45583</v>
      </c>
      <c r="C337">
        <v>2024</v>
      </c>
      <c r="D337">
        <v>4</v>
      </c>
      <c r="E337">
        <v>10</v>
      </c>
      <c r="F337">
        <v>19</v>
      </c>
      <c r="G337" s="2" t="s">
        <v>122</v>
      </c>
      <c r="H337" s="2" t="s">
        <v>26</v>
      </c>
      <c r="I337" s="2" t="s">
        <v>38</v>
      </c>
      <c r="J337" s="2" t="s">
        <v>20</v>
      </c>
      <c r="K337" s="2" t="s">
        <v>58</v>
      </c>
      <c r="L337">
        <v>7</v>
      </c>
      <c r="M337">
        <v>81.11</v>
      </c>
      <c r="N337">
        <v>567.77</v>
      </c>
      <c r="O337" t="s">
        <v>29</v>
      </c>
      <c r="P337" s="2" t="s">
        <v>48</v>
      </c>
      <c r="Q337" s="2" t="s">
        <v>24</v>
      </c>
    </row>
    <row r="338" spans="1:17" hidden="1" x14ac:dyDescent="0.3">
      <c r="A338">
        <v>202401040</v>
      </c>
      <c r="B338" s="1">
        <v>45458</v>
      </c>
      <c r="C338">
        <v>2024</v>
      </c>
      <c r="D338">
        <v>2</v>
      </c>
      <c r="E338">
        <v>6</v>
      </c>
      <c r="F338">
        <v>29</v>
      </c>
      <c r="G338" s="2" t="s">
        <v>61</v>
      </c>
      <c r="H338" s="2" t="s">
        <v>62</v>
      </c>
      <c r="I338" s="2" t="s">
        <v>19</v>
      </c>
      <c r="J338" s="2" t="s">
        <v>20</v>
      </c>
      <c r="K338" s="2" t="s">
        <v>70</v>
      </c>
      <c r="L338">
        <v>10</v>
      </c>
      <c r="M338">
        <v>1321.72</v>
      </c>
      <c r="N338">
        <v>13217.2</v>
      </c>
      <c r="O338" t="s">
        <v>22</v>
      </c>
      <c r="P338" s="2" t="s">
        <v>43</v>
      </c>
      <c r="Q338" s="2" t="s">
        <v>45</v>
      </c>
    </row>
    <row r="339" spans="1:17" x14ac:dyDescent="0.3">
      <c r="A339">
        <v>202400364</v>
      </c>
      <c r="B339" s="1">
        <v>45334</v>
      </c>
      <c r="C339">
        <v>2024</v>
      </c>
      <c r="D339">
        <v>1</v>
      </c>
      <c r="E339">
        <v>2</v>
      </c>
      <c r="F339">
        <v>22</v>
      </c>
      <c r="G339" s="2" t="s">
        <v>79</v>
      </c>
      <c r="H339" s="2" t="s">
        <v>18</v>
      </c>
      <c r="I339" s="2" t="s">
        <v>65</v>
      </c>
      <c r="J339" s="2" t="s">
        <v>34</v>
      </c>
      <c r="K339" s="2" t="s">
        <v>35</v>
      </c>
      <c r="L339">
        <v>14</v>
      </c>
      <c r="M339">
        <v>354.11</v>
      </c>
      <c r="N339">
        <v>4957.54</v>
      </c>
      <c r="O339" t="s">
        <v>22</v>
      </c>
      <c r="P339" s="2" t="s">
        <v>48</v>
      </c>
      <c r="Q339" s="2" t="s">
        <v>41</v>
      </c>
    </row>
    <row r="340" spans="1:17" x14ac:dyDescent="0.3">
      <c r="A340">
        <v>202401101</v>
      </c>
      <c r="B340" s="1">
        <v>45302</v>
      </c>
      <c r="C340">
        <v>2024</v>
      </c>
      <c r="D340">
        <v>1</v>
      </c>
      <c r="E340">
        <v>1</v>
      </c>
      <c r="F340">
        <v>49</v>
      </c>
      <c r="G340" s="2" t="s">
        <v>83</v>
      </c>
      <c r="H340" s="2" t="s">
        <v>69</v>
      </c>
      <c r="I340" s="2" t="s">
        <v>56</v>
      </c>
      <c r="J340" s="2" t="s">
        <v>57</v>
      </c>
      <c r="K340" s="2" t="s">
        <v>58</v>
      </c>
      <c r="L340">
        <v>9</v>
      </c>
      <c r="M340">
        <v>1695.83</v>
      </c>
      <c r="N340">
        <v>15262.47</v>
      </c>
      <c r="O340" t="s">
        <v>29</v>
      </c>
      <c r="P340" s="2" t="s">
        <v>23</v>
      </c>
      <c r="Q340" s="2" t="s">
        <v>31</v>
      </c>
    </row>
    <row r="341" spans="1:17" hidden="1" x14ac:dyDescent="0.3">
      <c r="A341">
        <v>202400216</v>
      </c>
      <c r="B341" s="1">
        <v>45517</v>
      </c>
      <c r="C341">
        <v>2024</v>
      </c>
      <c r="D341">
        <v>3</v>
      </c>
      <c r="E341">
        <v>8</v>
      </c>
      <c r="F341">
        <v>76</v>
      </c>
      <c r="G341" s="2" t="s">
        <v>104</v>
      </c>
      <c r="H341" s="2" t="s">
        <v>140</v>
      </c>
      <c r="I341" s="2" t="s">
        <v>33</v>
      </c>
      <c r="J341" s="2" t="s">
        <v>34</v>
      </c>
      <c r="K341" s="2" t="s">
        <v>21</v>
      </c>
      <c r="L341">
        <v>10</v>
      </c>
      <c r="M341">
        <v>689.18</v>
      </c>
      <c r="N341">
        <v>6891.7999999999993</v>
      </c>
      <c r="O341" t="s">
        <v>22</v>
      </c>
      <c r="P341" s="2" t="s">
        <v>43</v>
      </c>
      <c r="Q341" s="2" t="s">
        <v>24</v>
      </c>
    </row>
    <row r="342" spans="1:17" hidden="1" x14ac:dyDescent="0.3">
      <c r="A342">
        <v>202400899</v>
      </c>
      <c r="B342" s="1">
        <v>45530</v>
      </c>
      <c r="C342">
        <v>2024</v>
      </c>
      <c r="D342">
        <v>3</v>
      </c>
      <c r="E342">
        <v>8</v>
      </c>
      <c r="F342">
        <v>33</v>
      </c>
      <c r="G342" s="2" t="s">
        <v>133</v>
      </c>
      <c r="H342" s="2" t="s">
        <v>140</v>
      </c>
      <c r="I342" s="2" t="s">
        <v>33</v>
      </c>
      <c r="J342" s="2" t="s">
        <v>34</v>
      </c>
      <c r="K342" s="2" t="s">
        <v>97</v>
      </c>
      <c r="L342">
        <v>3</v>
      </c>
      <c r="M342">
        <v>1199.82</v>
      </c>
      <c r="N342">
        <v>3599.46</v>
      </c>
      <c r="O342" t="s">
        <v>29</v>
      </c>
      <c r="P342" s="2" t="s">
        <v>23</v>
      </c>
      <c r="Q342" s="2" t="s">
        <v>24</v>
      </c>
    </row>
    <row r="343" spans="1:17" x14ac:dyDescent="0.3">
      <c r="A343">
        <v>202400028</v>
      </c>
      <c r="B343" s="1">
        <v>45370</v>
      </c>
      <c r="C343">
        <v>2024</v>
      </c>
      <c r="D343">
        <v>1</v>
      </c>
      <c r="E343">
        <v>3</v>
      </c>
      <c r="F343">
        <v>40</v>
      </c>
      <c r="G343" s="2" t="s">
        <v>125</v>
      </c>
      <c r="H343" s="2" t="s">
        <v>69</v>
      </c>
      <c r="I343" s="2" t="s">
        <v>126</v>
      </c>
      <c r="J343" s="2" t="s">
        <v>20</v>
      </c>
      <c r="K343" s="2" t="s">
        <v>97</v>
      </c>
      <c r="L343">
        <v>5</v>
      </c>
      <c r="M343">
        <v>995.7</v>
      </c>
      <c r="N343">
        <v>4978.5</v>
      </c>
      <c r="O343" t="s">
        <v>29</v>
      </c>
      <c r="P343" s="2" t="s">
        <v>43</v>
      </c>
      <c r="Q343" s="2" t="s">
        <v>24</v>
      </c>
    </row>
    <row r="344" spans="1:17" hidden="1" x14ac:dyDescent="0.3">
      <c r="A344">
        <v>202401169</v>
      </c>
      <c r="B344" s="1">
        <v>45639</v>
      </c>
      <c r="C344">
        <v>2024</v>
      </c>
      <c r="D344">
        <v>4</v>
      </c>
      <c r="E344">
        <v>12</v>
      </c>
      <c r="F344">
        <v>16</v>
      </c>
      <c r="G344" s="2" t="s">
        <v>91</v>
      </c>
      <c r="H344" s="2" t="s">
        <v>18</v>
      </c>
      <c r="I344" s="2" t="s">
        <v>65</v>
      </c>
      <c r="J344" s="2" t="s">
        <v>34</v>
      </c>
      <c r="K344" s="2" t="s">
        <v>28</v>
      </c>
      <c r="L344">
        <v>13</v>
      </c>
      <c r="M344">
        <v>1735.74</v>
      </c>
      <c r="N344">
        <v>22564.62</v>
      </c>
      <c r="O344" t="s">
        <v>22</v>
      </c>
      <c r="P344" s="2" t="s">
        <v>43</v>
      </c>
      <c r="Q344" s="2" t="s">
        <v>31</v>
      </c>
    </row>
    <row r="345" spans="1:17" x14ac:dyDescent="0.3">
      <c r="A345">
        <v>202400875</v>
      </c>
      <c r="B345" s="1">
        <v>45351</v>
      </c>
      <c r="C345">
        <v>2024</v>
      </c>
      <c r="D345">
        <v>1</v>
      </c>
      <c r="E345">
        <v>2</v>
      </c>
      <c r="F345">
        <v>65</v>
      </c>
      <c r="G345" s="2" t="s">
        <v>112</v>
      </c>
      <c r="H345" s="2" t="s">
        <v>69</v>
      </c>
      <c r="I345" s="2" t="s">
        <v>19</v>
      </c>
      <c r="J345" s="2" t="s">
        <v>20</v>
      </c>
      <c r="K345" s="2" t="s">
        <v>52</v>
      </c>
      <c r="L345">
        <v>12</v>
      </c>
      <c r="M345">
        <v>836.74</v>
      </c>
      <c r="N345">
        <v>10040.880000000001</v>
      </c>
      <c r="O345" t="s">
        <v>22</v>
      </c>
      <c r="P345" s="2" t="s">
        <v>30</v>
      </c>
      <c r="Q345" s="2" t="s">
        <v>24</v>
      </c>
    </row>
    <row r="346" spans="1:17" hidden="1" x14ac:dyDescent="0.3">
      <c r="A346">
        <v>202400671</v>
      </c>
      <c r="B346" s="1">
        <v>45463</v>
      </c>
      <c r="C346">
        <v>2024</v>
      </c>
      <c r="D346">
        <v>2</v>
      </c>
      <c r="E346">
        <v>6</v>
      </c>
      <c r="F346">
        <v>31</v>
      </c>
      <c r="G346" s="2" t="s">
        <v>127</v>
      </c>
      <c r="H346" s="2" t="s">
        <v>69</v>
      </c>
      <c r="I346" s="2" t="s">
        <v>54</v>
      </c>
      <c r="J346" s="2" t="s">
        <v>20</v>
      </c>
      <c r="K346" s="2" t="s">
        <v>47</v>
      </c>
      <c r="L346">
        <v>5</v>
      </c>
      <c r="M346">
        <v>1466.63</v>
      </c>
      <c r="N346">
        <v>7333.1500000000005</v>
      </c>
      <c r="O346" t="s">
        <v>29</v>
      </c>
      <c r="P346" s="2" t="s">
        <v>23</v>
      </c>
      <c r="Q346" s="2" t="s">
        <v>24</v>
      </c>
    </row>
    <row r="347" spans="1:17" x14ac:dyDescent="0.3">
      <c r="A347">
        <v>202400932</v>
      </c>
      <c r="B347" s="1">
        <v>45341</v>
      </c>
      <c r="C347">
        <v>2024</v>
      </c>
      <c r="D347">
        <v>1</v>
      </c>
      <c r="E347">
        <v>2</v>
      </c>
      <c r="F347">
        <v>17</v>
      </c>
      <c r="G347" s="2" t="s">
        <v>77</v>
      </c>
      <c r="H347" s="2" t="s">
        <v>69</v>
      </c>
      <c r="I347" s="2" t="s">
        <v>78</v>
      </c>
      <c r="J347" s="2" t="s">
        <v>75</v>
      </c>
      <c r="K347" s="2" t="s">
        <v>35</v>
      </c>
      <c r="L347">
        <v>14</v>
      </c>
      <c r="M347">
        <v>22.22</v>
      </c>
      <c r="N347">
        <v>311.08</v>
      </c>
      <c r="O347" t="s">
        <v>22</v>
      </c>
      <c r="P347" s="2" t="s">
        <v>30</v>
      </c>
      <c r="Q347" s="2" t="s">
        <v>24</v>
      </c>
    </row>
    <row r="348" spans="1:17" hidden="1" x14ac:dyDescent="0.3">
      <c r="A348">
        <v>202400483</v>
      </c>
      <c r="B348" s="1">
        <v>45634</v>
      </c>
      <c r="C348">
        <v>2024</v>
      </c>
      <c r="D348">
        <v>4</v>
      </c>
      <c r="E348">
        <v>12</v>
      </c>
      <c r="F348">
        <v>31</v>
      </c>
      <c r="G348" s="2" t="s">
        <v>127</v>
      </c>
      <c r="H348" s="2" t="s">
        <v>69</v>
      </c>
      <c r="I348" s="2" t="s">
        <v>54</v>
      </c>
      <c r="J348" s="2" t="s">
        <v>20</v>
      </c>
      <c r="K348" s="2" t="s">
        <v>42</v>
      </c>
      <c r="L348">
        <v>1</v>
      </c>
      <c r="M348">
        <v>1859.87</v>
      </c>
      <c r="N348">
        <v>1859.87</v>
      </c>
      <c r="O348" t="s">
        <v>36</v>
      </c>
      <c r="P348" s="2" t="s">
        <v>48</v>
      </c>
      <c r="Q348" s="2" t="s">
        <v>31</v>
      </c>
    </row>
    <row r="349" spans="1:17" x14ac:dyDescent="0.3">
      <c r="A349">
        <v>202400928</v>
      </c>
      <c r="B349" s="1">
        <v>45373</v>
      </c>
      <c r="C349">
        <v>2024</v>
      </c>
      <c r="D349">
        <v>1</v>
      </c>
      <c r="E349">
        <v>3</v>
      </c>
      <c r="F349">
        <v>48</v>
      </c>
      <c r="G349" s="2" t="s">
        <v>82</v>
      </c>
      <c r="H349" s="2" t="s">
        <v>140</v>
      </c>
      <c r="I349" s="2" t="s">
        <v>78</v>
      </c>
      <c r="J349" s="2" t="s">
        <v>75</v>
      </c>
      <c r="K349" s="2" t="s">
        <v>97</v>
      </c>
      <c r="L349">
        <v>12</v>
      </c>
      <c r="M349">
        <v>1875.89</v>
      </c>
      <c r="N349">
        <v>22510.68</v>
      </c>
      <c r="O349" t="s">
        <v>22</v>
      </c>
      <c r="P349" s="2" t="s">
        <v>43</v>
      </c>
      <c r="Q349" s="2" t="s">
        <v>41</v>
      </c>
    </row>
    <row r="350" spans="1:17" hidden="1" x14ac:dyDescent="0.3">
      <c r="A350">
        <v>202400948</v>
      </c>
      <c r="B350" s="1">
        <v>45477</v>
      </c>
      <c r="C350">
        <v>2024</v>
      </c>
      <c r="D350">
        <v>3</v>
      </c>
      <c r="E350">
        <v>7</v>
      </c>
      <c r="F350">
        <v>9</v>
      </c>
      <c r="G350" s="2" t="s">
        <v>44</v>
      </c>
      <c r="H350" s="2" t="s">
        <v>62</v>
      </c>
      <c r="I350" s="2" t="s">
        <v>78</v>
      </c>
      <c r="J350" s="2" t="s">
        <v>75</v>
      </c>
      <c r="K350" s="2" t="s">
        <v>59</v>
      </c>
      <c r="L350">
        <v>2</v>
      </c>
      <c r="M350">
        <v>1212.3699999999999</v>
      </c>
      <c r="N350">
        <v>2424.7399999999998</v>
      </c>
      <c r="O350" t="s">
        <v>36</v>
      </c>
      <c r="P350" s="2" t="s">
        <v>43</v>
      </c>
      <c r="Q350" s="2" t="s">
        <v>24</v>
      </c>
    </row>
    <row r="351" spans="1:17" hidden="1" x14ac:dyDescent="0.3">
      <c r="A351">
        <v>202400549</v>
      </c>
      <c r="B351" s="1">
        <v>45638</v>
      </c>
      <c r="C351">
        <v>2024</v>
      </c>
      <c r="D351">
        <v>4</v>
      </c>
      <c r="E351">
        <v>12</v>
      </c>
      <c r="F351">
        <v>72</v>
      </c>
      <c r="G351" s="2" t="s">
        <v>100</v>
      </c>
      <c r="H351" s="2" t="s">
        <v>140</v>
      </c>
      <c r="I351" s="2" t="s">
        <v>33</v>
      </c>
      <c r="J351" s="2" t="s">
        <v>34</v>
      </c>
      <c r="K351" s="2" t="s">
        <v>47</v>
      </c>
      <c r="L351">
        <v>3</v>
      </c>
      <c r="M351">
        <v>1351.74</v>
      </c>
      <c r="N351">
        <v>4055.2200000000003</v>
      </c>
      <c r="O351" t="s">
        <v>29</v>
      </c>
      <c r="P351" s="2" t="s">
        <v>48</v>
      </c>
      <c r="Q351" s="2" t="s">
        <v>40</v>
      </c>
    </row>
    <row r="352" spans="1:17" hidden="1" x14ac:dyDescent="0.3">
      <c r="A352">
        <v>202400355</v>
      </c>
      <c r="B352" s="1">
        <v>45430</v>
      </c>
      <c r="C352">
        <v>2024</v>
      </c>
      <c r="D352">
        <v>2</v>
      </c>
      <c r="E352">
        <v>5</v>
      </c>
      <c r="F352">
        <v>8</v>
      </c>
      <c r="G352" s="2" t="s">
        <v>63</v>
      </c>
      <c r="H352" s="2" t="s">
        <v>26</v>
      </c>
      <c r="I352" s="2" t="s">
        <v>54</v>
      </c>
      <c r="J352" s="2" t="s">
        <v>20</v>
      </c>
      <c r="K352" s="2" t="s">
        <v>50</v>
      </c>
      <c r="L352">
        <v>1</v>
      </c>
      <c r="M352">
        <v>1197.56</v>
      </c>
      <c r="N352">
        <v>1197.56</v>
      </c>
      <c r="O352" t="s">
        <v>36</v>
      </c>
      <c r="P352" s="2" t="s">
        <v>48</v>
      </c>
      <c r="Q352" s="2" t="s">
        <v>45</v>
      </c>
    </row>
    <row r="353" spans="1:17" hidden="1" x14ac:dyDescent="0.3">
      <c r="A353">
        <v>202401061</v>
      </c>
      <c r="B353" s="1">
        <v>45517</v>
      </c>
      <c r="C353">
        <v>2024</v>
      </c>
      <c r="D353">
        <v>3</v>
      </c>
      <c r="E353">
        <v>8</v>
      </c>
      <c r="F353">
        <v>14</v>
      </c>
      <c r="G353" s="2" t="s">
        <v>106</v>
      </c>
      <c r="H353" s="2" t="s">
        <v>26</v>
      </c>
      <c r="I353" s="2" t="s">
        <v>54</v>
      </c>
      <c r="J353" s="2" t="s">
        <v>20</v>
      </c>
      <c r="K353" s="2" t="s">
        <v>60</v>
      </c>
      <c r="L353">
        <v>3</v>
      </c>
      <c r="M353">
        <v>1448.73</v>
      </c>
      <c r="N353">
        <v>4346.1900000000005</v>
      </c>
      <c r="O353" t="s">
        <v>29</v>
      </c>
      <c r="P353" s="2" t="s">
        <v>43</v>
      </c>
      <c r="Q353" s="2" t="s">
        <v>24</v>
      </c>
    </row>
    <row r="354" spans="1:17" hidden="1" x14ac:dyDescent="0.3">
      <c r="A354">
        <v>202400424</v>
      </c>
      <c r="B354" s="1">
        <v>45451</v>
      </c>
      <c r="C354">
        <v>2024</v>
      </c>
      <c r="D354">
        <v>2</v>
      </c>
      <c r="E354">
        <v>6</v>
      </c>
      <c r="F354">
        <v>33</v>
      </c>
      <c r="G354" s="2" t="s">
        <v>133</v>
      </c>
      <c r="H354" s="2" t="s">
        <v>140</v>
      </c>
      <c r="I354" s="2" t="s">
        <v>33</v>
      </c>
      <c r="J354" s="2" t="s">
        <v>34</v>
      </c>
      <c r="K354" s="2" t="s">
        <v>70</v>
      </c>
      <c r="L354">
        <v>9</v>
      </c>
      <c r="M354">
        <v>1793.99</v>
      </c>
      <c r="N354">
        <v>16145.91</v>
      </c>
      <c r="O354" t="s">
        <v>29</v>
      </c>
      <c r="P354" s="2" t="s">
        <v>23</v>
      </c>
      <c r="Q354" s="2" t="s">
        <v>49</v>
      </c>
    </row>
    <row r="355" spans="1:17" hidden="1" x14ac:dyDescent="0.3">
      <c r="A355">
        <v>202400257</v>
      </c>
      <c r="B355" s="1">
        <v>45542</v>
      </c>
      <c r="C355">
        <v>2024</v>
      </c>
      <c r="D355">
        <v>3</v>
      </c>
      <c r="E355">
        <v>9</v>
      </c>
      <c r="F355">
        <v>79</v>
      </c>
      <c r="G355" s="2" t="s">
        <v>108</v>
      </c>
      <c r="H355" s="2" t="s">
        <v>69</v>
      </c>
      <c r="I355" s="2" t="s">
        <v>85</v>
      </c>
      <c r="J355" s="2" t="s">
        <v>57</v>
      </c>
      <c r="K355" s="2" t="s">
        <v>52</v>
      </c>
      <c r="L355">
        <v>3</v>
      </c>
      <c r="M355">
        <v>965.94</v>
      </c>
      <c r="N355">
        <v>2897.82</v>
      </c>
      <c r="O355" t="s">
        <v>29</v>
      </c>
      <c r="P355" s="2" t="s">
        <v>43</v>
      </c>
      <c r="Q355" s="2" t="s">
        <v>49</v>
      </c>
    </row>
    <row r="356" spans="1:17" x14ac:dyDescent="0.3">
      <c r="A356">
        <v>202400292</v>
      </c>
      <c r="B356" s="1">
        <v>45381</v>
      </c>
      <c r="C356">
        <v>2024</v>
      </c>
      <c r="D356">
        <v>1</v>
      </c>
      <c r="E356">
        <v>3</v>
      </c>
      <c r="F356">
        <v>73</v>
      </c>
      <c r="G356" s="2" t="s">
        <v>111</v>
      </c>
      <c r="H356" s="2" t="s">
        <v>26</v>
      </c>
      <c r="I356" s="2" t="s">
        <v>27</v>
      </c>
      <c r="J356" s="2" t="s">
        <v>20</v>
      </c>
      <c r="K356" s="2" t="s">
        <v>70</v>
      </c>
      <c r="L356">
        <v>8</v>
      </c>
      <c r="M356">
        <v>1853.22</v>
      </c>
      <c r="N356">
        <v>14825.76</v>
      </c>
      <c r="O356" t="s">
        <v>29</v>
      </c>
      <c r="P356" s="2" t="s">
        <v>23</v>
      </c>
      <c r="Q356" s="2" t="s">
        <v>41</v>
      </c>
    </row>
    <row r="357" spans="1:17" hidden="1" x14ac:dyDescent="0.3">
      <c r="A357">
        <v>202400026</v>
      </c>
      <c r="B357" s="1">
        <v>45515</v>
      </c>
      <c r="C357">
        <v>2024</v>
      </c>
      <c r="D357">
        <v>3</v>
      </c>
      <c r="E357">
        <v>8</v>
      </c>
      <c r="F357">
        <v>70</v>
      </c>
      <c r="G357" s="2" t="s">
        <v>94</v>
      </c>
      <c r="H357" s="2" t="s">
        <v>18</v>
      </c>
      <c r="I357" s="2" t="s">
        <v>78</v>
      </c>
      <c r="J357" s="2" t="s">
        <v>75</v>
      </c>
      <c r="K357" s="2" t="s">
        <v>50</v>
      </c>
      <c r="L357">
        <v>4</v>
      </c>
      <c r="M357">
        <v>56.14</v>
      </c>
      <c r="N357">
        <v>224.56</v>
      </c>
      <c r="O357" t="s">
        <v>29</v>
      </c>
      <c r="P357" s="2" t="s">
        <v>30</v>
      </c>
      <c r="Q357" s="2" t="s">
        <v>24</v>
      </c>
    </row>
    <row r="358" spans="1:17" hidden="1" x14ac:dyDescent="0.3">
      <c r="A358">
        <v>202400337</v>
      </c>
      <c r="B358" s="1">
        <v>45540</v>
      </c>
      <c r="C358">
        <v>2024</v>
      </c>
      <c r="D358">
        <v>3</v>
      </c>
      <c r="E358">
        <v>9</v>
      </c>
      <c r="F358">
        <v>61</v>
      </c>
      <c r="G358" s="2" t="s">
        <v>90</v>
      </c>
      <c r="H358" s="2" t="s">
        <v>69</v>
      </c>
      <c r="I358" s="2" t="s">
        <v>65</v>
      </c>
      <c r="J358" s="2" t="s">
        <v>34</v>
      </c>
      <c r="K358" s="2" t="s">
        <v>47</v>
      </c>
      <c r="L358">
        <v>12</v>
      </c>
      <c r="M358">
        <v>712.61</v>
      </c>
      <c r="N358">
        <v>8551.32</v>
      </c>
      <c r="O358" t="s">
        <v>22</v>
      </c>
      <c r="P358" s="2" t="s">
        <v>48</v>
      </c>
      <c r="Q358" s="2" t="s">
        <v>40</v>
      </c>
    </row>
    <row r="359" spans="1:17" hidden="1" x14ac:dyDescent="0.3">
      <c r="A359">
        <v>202400412</v>
      </c>
      <c r="B359" s="1">
        <v>45540</v>
      </c>
      <c r="C359">
        <v>2024</v>
      </c>
      <c r="D359">
        <v>3</v>
      </c>
      <c r="E359">
        <v>9</v>
      </c>
      <c r="F359">
        <v>16</v>
      </c>
      <c r="G359" s="2" t="s">
        <v>91</v>
      </c>
      <c r="H359" s="2" t="s">
        <v>18</v>
      </c>
      <c r="I359" s="2" t="s">
        <v>65</v>
      </c>
      <c r="J359" s="2" t="s">
        <v>34</v>
      </c>
      <c r="K359" s="2" t="s">
        <v>47</v>
      </c>
      <c r="L359">
        <v>2</v>
      </c>
      <c r="M359">
        <v>1699.06</v>
      </c>
      <c r="N359">
        <v>3398.12</v>
      </c>
      <c r="O359" t="s">
        <v>36</v>
      </c>
      <c r="P359" s="2" t="s">
        <v>43</v>
      </c>
      <c r="Q359" s="2" t="s">
        <v>41</v>
      </c>
    </row>
    <row r="360" spans="1:17" x14ac:dyDescent="0.3">
      <c r="A360">
        <v>202400048</v>
      </c>
      <c r="B360" s="1">
        <v>45323</v>
      </c>
      <c r="C360">
        <v>2024</v>
      </c>
      <c r="D360">
        <v>1</v>
      </c>
      <c r="E360">
        <v>2</v>
      </c>
      <c r="F360">
        <v>57</v>
      </c>
      <c r="G360" s="2" t="s">
        <v>53</v>
      </c>
      <c r="H360" s="2" t="s">
        <v>18</v>
      </c>
      <c r="I360" s="2" t="s">
        <v>54</v>
      </c>
      <c r="J360" s="2" t="s">
        <v>20</v>
      </c>
      <c r="K360" s="2" t="s">
        <v>42</v>
      </c>
      <c r="L360">
        <v>13</v>
      </c>
      <c r="M360">
        <v>1393.5</v>
      </c>
      <c r="N360">
        <v>18115.5</v>
      </c>
      <c r="O360" t="s">
        <v>22</v>
      </c>
      <c r="P360" s="2" t="s">
        <v>43</v>
      </c>
      <c r="Q360" s="2" t="s">
        <v>31</v>
      </c>
    </row>
    <row r="361" spans="1:17" hidden="1" x14ac:dyDescent="0.3">
      <c r="A361">
        <v>202400319</v>
      </c>
      <c r="B361" s="1">
        <v>45568</v>
      </c>
      <c r="C361">
        <v>2024</v>
      </c>
      <c r="D361">
        <v>4</v>
      </c>
      <c r="E361">
        <v>10</v>
      </c>
      <c r="F361">
        <v>41</v>
      </c>
      <c r="G361" s="2" t="s">
        <v>99</v>
      </c>
      <c r="H361" s="2" t="s">
        <v>18</v>
      </c>
      <c r="I361" s="2" t="s">
        <v>78</v>
      </c>
      <c r="J361" s="2" t="s">
        <v>75</v>
      </c>
      <c r="K361" s="2" t="s">
        <v>50</v>
      </c>
      <c r="L361">
        <v>12</v>
      </c>
      <c r="M361">
        <v>1785.5</v>
      </c>
      <c r="N361">
        <v>21426</v>
      </c>
      <c r="O361" t="s">
        <v>22</v>
      </c>
      <c r="P361" s="2" t="s">
        <v>30</v>
      </c>
      <c r="Q361" s="2" t="s">
        <v>24</v>
      </c>
    </row>
    <row r="362" spans="1:17" hidden="1" x14ac:dyDescent="0.3">
      <c r="A362">
        <v>202400107</v>
      </c>
      <c r="B362" s="1">
        <v>45523</v>
      </c>
      <c r="C362">
        <v>2024</v>
      </c>
      <c r="D362">
        <v>3</v>
      </c>
      <c r="E362">
        <v>8</v>
      </c>
      <c r="F362">
        <v>27</v>
      </c>
      <c r="G362" s="2" t="s">
        <v>83</v>
      </c>
      <c r="H362" s="2" t="s">
        <v>18</v>
      </c>
      <c r="I362" s="2" t="s">
        <v>74</v>
      </c>
      <c r="J362" s="2" t="s">
        <v>75</v>
      </c>
      <c r="K362" s="2" t="s">
        <v>42</v>
      </c>
      <c r="L362">
        <v>10</v>
      </c>
      <c r="M362">
        <v>1939.13</v>
      </c>
      <c r="N362">
        <v>19391.300000000003</v>
      </c>
      <c r="O362" t="s">
        <v>22</v>
      </c>
      <c r="P362" s="2" t="s">
        <v>23</v>
      </c>
      <c r="Q362" s="2" t="s">
        <v>24</v>
      </c>
    </row>
    <row r="363" spans="1:17" hidden="1" x14ac:dyDescent="0.3">
      <c r="A363">
        <v>202400817</v>
      </c>
      <c r="B363" s="1">
        <v>45501</v>
      </c>
      <c r="C363">
        <v>2024</v>
      </c>
      <c r="D363">
        <v>3</v>
      </c>
      <c r="E363">
        <v>7</v>
      </c>
      <c r="F363">
        <v>50</v>
      </c>
      <c r="G363" s="2" t="s">
        <v>37</v>
      </c>
      <c r="H363" s="2" t="s">
        <v>62</v>
      </c>
      <c r="I363" s="2" t="s">
        <v>38</v>
      </c>
      <c r="J363" s="2" t="s">
        <v>20</v>
      </c>
      <c r="K363" s="2" t="s">
        <v>60</v>
      </c>
      <c r="L363">
        <v>3</v>
      </c>
      <c r="M363">
        <v>1194.69</v>
      </c>
      <c r="N363">
        <v>3584.07</v>
      </c>
      <c r="O363" t="s">
        <v>29</v>
      </c>
      <c r="P363" s="2" t="s">
        <v>43</v>
      </c>
      <c r="Q363" s="2" t="s">
        <v>31</v>
      </c>
    </row>
    <row r="364" spans="1:17" hidden="1" x14ac:dyDescent="0.3">
      <c r="A364">
        <v>202400056</v>
      </c>
      <c r="B364" s="1">
        <v>45393</v>
      </c>
      <c r="C364">
        <v>2024</v>
      </c>
      <c r="D364">
        <v>2</v>
      </c>
      <c r="E364">
        <v>4</v>
      </c>
      <c r="F364">
        <v>77</v>
      </c>
      <c r="G364" s="2" t="s">
        <v>109</v>
      </c>
      <c r="H364" s="2" t="s">
        <v>140</v>
      </c>
      <c r="I364" s="2" t="s">
        <v>74</v>
      </c>
      <c r="J364" s="2" t="s">
        <v>75</v>
      </c>
      <c r="K364" s="2" t="s">
        <v>28</v>
      </c>
      <c r="L364">
        <v>2</v>
      </c>
      <c r="M364">
        <v>1324.78</v>
      </c>
      <c r="N364">
        <v>2649.56</v>
      </c>
      <c r="O364" t="s">
        <v>36</v>
      </c>
      <c r="P364" s="2" t="s">
        <v>43</v>
      </c>
      <c r="Q364" s="2" t="s">
        <v>40</v>
      </c>
    </row>
    <row r="365" spans="1:17" hidden="1" x14ac:dyDescent="0.3">
      <c r="A365">
        <v>202400536</v>
      </c>
      <c r="B365" s="1">
        <v>45448</v>
      </c>
      <c r="C365">
        <v>2024</v>
      </c>
      <c r="D365">
        <v>2</v>
      </c>
      <c r="E365">
        <v>6</v>
      </c>
      <c r="F365">
        <v>41</v>
      </c>
      <c r="G365" s="2" t="s">
        <v>99</v>
      </c>
      <c r="H365" s="2" t="s">
        <v>18</v>
      </c>
      <c r="I365" s="2" t="s">
        <v>78</v>
      </c>
      <c r="J365" s="2" t="s">
        <v>75</v>
      </c>
      <c r="K365" s="2" t="s">
        <v>58</v>
      </c>
      <c r="L365">
        <v>8</v>
      </c>
      <c r="M365">
        <v>254.84</v>
      </c>
      <c r="N365">
        <v>2038.72</v>
      </c>
      <c r="O365" t="s">
        <v>29</v>
      </c>
      <c r="P365" s="2" t="s">
        <v>43</v>
      </c>
      <c r="Q365" s="2" t="s">
        <v>24</v>
      </c>
    </row>
    <row r="366" spans="1:17" x14ac:dyDescent="0.3">
      <c r="A366">
        <v>202400214</v>
      </c>
      <c r="B366" s="1">
        <v>45303</v>
      </c>
      <c r="C366">
        <v>2024</v>
      </c>
      <c r="D366">
        <v>1</v>
      </c>
      <c r="E366">
        <v>1</v>
      </c>
      <c r="F366">
        <v>33</v>
      </c>
      <c r="G366" s="2" t="s">
        <v>133</v>
      </c>
      <c r="H366" s="2" t="s">
        <v>140</v>
      </c>
      <c r="I366" s="2" t="s">
        <v>33</v>
      </c>
      <c r="J366" s="2" t="s">
        <v>34</v>
      </c>
      <c r="K366" s="2" t="s">
        <v>70</v>
      </c>
      <c r="L366">
        <v>3</v>
      </c>
      <c r="M366">
        <v>981.41</v>
      </c>
      <c r="N366">
        <v>2944.23</v>
      </c>
      <c r="O366" t="s">
        <v>29</v>
      </c>
      <c r="P366" s="2" t="s">
        <v>30</v>
      </c>
      <c r="Q366" s="2" t="s">
        <v>24</v>
      </c>
    </row>
    <row r="367" spans="1:17" hidden="1" x14ac:dyDescent="0.3">
      <c r="A367">
        <v>202400121</v>
      </c>
      <c r="B367" s="1">
        <v>45548</v>
      </c>
      <c r="C367">
        <v>2024</v>
      </c>
      <c r="D367">
        <v>3</v>
      </c>
      <c r="E367">
        <v>9</v>
      </c>
      <c r="F367">
        <v>63</v>
      </c>
      <c r="G367" s="2" t="s">
        <v>64</v>
      </c>
      <c r="H367" s="2" t="s">
        <v>69</v>
      </c>
      <c r="I367" s="2" t="s">
        <v>65</v>
      </c>
      <c r="J367" s="2" t="s">
        <v>34</v>
      </c>
      <c r="K367" s="2" t="s">
        <v>59</v>
      </c>
      <c r="L367">
        <v>1</v>
      </c>
      <c r="M367">
        <v>1984.8</v>
      </c>
      <c r="N367">
        <v>1984.8</v>
      </c>
      <c r="O367" t="s">
        <v>36</v>
      </c>
      <c r="P367" s="2" t="s">
        <v>30</v>
      </c>
      <c r="Q367" s="2" t="s">
        <v>24</v>
      </c>
    </row>
    <row r="368" spans="1:17" hidden="1" x14ac:dyDescent="0.3">
      <c r="A368">
        <v>202401081</v>
      </c>
      <c r="B368" s="1">
        <v>45636</v>
      </c>
      <c r="C368">
        <v>2024</v>
      </c>
      <c r="D368">
        <v>4</v>
      </c>
      <c r="E368">
        <v>12</v>
      </c>
      <c r="F368">
        <v>10</v>
      </c>
      <c r="G368" s="2" t="s">
        <v>17</v>
      </c>
      <c r="H368" s="2" t="s">
        <v>18</v>
      </c>
      <c r="I368" s="2" t="s">
        <v>19</v>
      </c>
      <c r="J368" s="2" t="s">
        <v>20</v>
      </c>
      <c r="K368" s="2" t="s">
        <v>35</v>
      </c>
      <c r="L368">
        <v>4</v>
      </c>
      <c r="M368">
        <v>973.96</v>
      </c>
      <c r="N368">
        <v>3895.84</v>
      </c>
      <c r="O368" t="s">
        <v>29</v>
      </c>
      <c r="P368" s="2" t="s">
        <v>30</v>
      </c>
      <c r="Q368" s="2" t="s">
        <v>40</v>
      </c>
    </row>
    <row r="369" spans="1:17" hidden="1" x14ac:dyDescent="0.3">
      <c r="A369">
        <v>202400431</v>
      </c>
      <c r="B369" s="1">
        <v>45570</v>
      </c>
      <c r="C369">
        <v>2024</v>
      </c>
      <c r="D369">
        <v>4</v>
      </c>
      <c r="E369">
        <v>10</v>
      </c>
      <c r="F369">
        <v>26</v>
      </c>
      <c r="G369" s="2" t="s">
        <v>89</v>
      </c>
      <c r="H369" s="2" t="s">
        <v>62</v>
      </c>
      <c r="I369" s="2" t="s">
        <v>67</v>
      </c>
      <c r="J369" s="2" t="s">
        <v>20</v>
      </c>
      <c r="K369" s="2" t="s">
        <v>39</v>
      </c>
      <c r="L369">
        <v>13</v>
      </c>
      <c r="M369">
        <v>1289.83</v>
      </c>
      <c r="N369">
        <v>16767.79</v>
      </c>
      <c r="O369" t="s">
        <v>22</v>
      </c>
      <c r="P369" s="2" t="s">
        <v>30</v>
      </c>
      <c r="Q369" s="2" t="s">
        <v>31</v>
      </c>
    </row>
    <row r="370" spans="1:17" hidden="1" x14ac:dyDescent="0.3">
      <c r="A370">
        <v>202400534</v>
      </c>
      <c r="B370" s="1">
        <v>45425</v>
      </c>
      <c r="C370">
        <v>2024</v>
      </c>
      <c r="D370">
        <v>2</v>
      </c>
      <c r="E370">
        <v>5</v>
      </c>
      <c r="F370">
        <v>6</v>
      </c>
      <c r="G370" s="2" t="s">
        <v>55</v>
      </c>
      <c r="H370" s="2" t="s">
        <v>26</v>
      </c>
      <c r="I370" s="2" t="s">
        <v>56</v>
      </c>
      <c r="J370" s="2" t="s">
        <v>57</v>
      </c>
      <c r="K370" s="2" t="s">
        <v>97</v>
      </c>
      <c r="L370">
        <v>3</v>
      </c>
      <c r="M370">
        <v>76.84</v>
      </c>
      <c r="N370">
        <v>230.52</v>
      </c>
      <c r="O370" t="s">
        <v>29</v>
      </c>
      <c r="P370" s="2" t="s">
        <v>30</v>
      </c>
      <c r="Q370" s="2" t="s">
        <v>24</v>
      </c>
    </row>
    <row r="371" spans="1:17" hidden="1" x14ac:dyDescent="0.3">
      <c r="A371">
        <v>202400073</v>
      </c>
      <c r="B371" s="1">
        <v>45636</v>
      </c>
      <c r="C371">
        <v>2024</v>
      </c>
      <c r="D371">
        <v>4</v>
      </c>
      <c r="E371">
        <v>12</v>
      </c>
      <c r="F371">
        <v>65</v>
      </c>
      <c r="G371" s="2" t="s">
        <v>112</v>
      </c>
      <c r="H371" s="2" t="s">
        <v>69</v>
      </c>
      <c r="I371" s="2" t="s">
        <v>19</v>
      </c>
      <c r="J371" s="2" t="s">
        <v>20</v>
      </c>
      <c r="K371" s="2" t="s">
        <v>35</v>
      </c>
      <c r="L371">
        <v>11</v>
      </c>
      <c r="M371">
        <v>600.49</v>
      </c>
      <c r="N371">
        <v>6605.39</v>
      </c>
      <c r="O371" t="s">
        <v>22</v>
      </c>
      <c r="P371" s="2" t="s">
        <v>43</v>
      </c>
      <c r="Q371" s="2" t="s">
        <v>40</v>
      </c>
    </row>
    <row r="372" spans="1:17" hidden="1" x14ac:dyDescent="0.3">
      <c r="A372">
        <v>202400970</v>
      </c>
      <c r="B372" s="1">
        <v>45426</v>
      </c>
      <c r="C372">
        <v>2024</v>
      </c>
      <c r="D372">
        <v>2</v>
      </c>
      <c r="E372">
        <v>5</v>
      </c>
      <c r="F372">
        <v>43</v>
      </c>
      <c r="G372" s="2" t="s">
        <v>100</v>
      </c>
      <c r="H372" s="2" t="s">
        <v>69</v>
      </c>
      <c r="I372" s="2" t="s">
        <v>54</v>
      </c>
      <c r="J372" s="2" t="s">
        <v>20</v>
      </c>
      <c r="K372" s="2" t="s">
        <v>52</v>
      </c>
      <c r="L372">
        <v>10</v>
      </c>
      <c r="M372">
        <v>355.18</v>
      </c>
      <c r="N372">
        <v>3551.8</v>
      </c>
      <c r="O372" t="s">
        <v>22</v>
      </c>
      <c r="P372" s="2" t="s">
        <v>30</v>
      </c>
      <c r="Q372" s="2" t="s">
        <v>40</v>
      </c>
    </row>
    <row r="373" spans="1:17" x14ac:dyDescent="0.3">
      <c r="A373">
        <v>202401019</v>
      </c>
      <c r="B373" s="1">
        <v>45380</v>
      </c>
      <c r="C373">
        <v>2024</v>
      </c>
      <c r="D373">
        <v>1</v>
      </c>
      <c r="E373">
        <v>3</v>
      </c>
      <c r="F373">
        <v>38</v>
      </c>
      <c r="G373" s="2" t="s">
        <v>92</v>
      </c>
      <c r="H373" s="2" t="s">
        <v>18</v>
      </c>
      <c r="I373" s="2" t="s">
        <v>78</v>
      </c>
      <c r="J373" s="2" t="s">
        <v>75</v>
      </c>
      <c r="K373" s="2" t="s">
        <v>58</v>
      </c>
      <c r="L373">
        <v>9</v>
      </c>
      <c r="M373">
        <v>1653.35</v>
      </c>
      <c r="N373">
        <v>14880.15</v>
      </c>
      <c r="O373" t="s">
        <v>29</v>
      </c>
      <c r="P373" s="2" t="s">
        <v>43</v>
      </c>
      <c r="Q373" s="2" t="s">
        <v>24</v>
      </c>
    </row>
    <row r="374" spans="1:17" x14ac:dyDescent="0.3">
      <c r="A374">
        <v>202400632</v>
      </c>
      <c r="B374" s="1">
        <v>45339</v>
      </c>
      <c r="C374">
        <v>2024</v>
      </c>
      <c r="D374">
        <v>1</v>
      </c>
      <c r="E374">
        <v>2</v>
      </c>
      <c r="F374">
        <v>5</v>
      </c>
      <c r="G374" s="2" t="s">
        <v>121</v>
      </c>
      <c r="H374" s="2" t="s">
        <v>62</v>
      </c>
      <c r="I374" s="2" t="s">
        <v>27</v>
      </c>
      <c r="J374" s="2" t="s">
        <v>20</v>
      </c>
      <c r="K374" s="2" t="s">
        <v>97</v>
      </c>
      <c r="L374">
        <v>9</v>
      </c>
      <c r="M374">
        <v>1718.57</v>
      </c>
      <c r="N374">
        <v>15467.13</v>
      </c>
      <c r="O374" t="s">
        <v>29</v>
      </c>
      <c r="P374" s="2" t="s">
        <v>30</v>
      </c>
      <c r="Q374" s="2" t="s">
        <v>41</v>
      </c>
    </row>
    <row r="375" spans="1:17" hidden="1" x14ac:dyDescent="0.3">
      <c r="A375">
        <v>202400964</v>
      </c>
      <c r="B375" s="1">
        <v>45501</v>
      </c>
      <c r="C375">
        <v>2024</v>
      </c>
      <c r="D375">
        <v>3</v>
      </c>
      <c r="E375">
        <v>7</v>
      </c>
      <c r="F375">
        <v>25</v>
      </c>
      <c r="G375" s="2" t="s">
        <v>117</v>
      </c>
      <c r="H375" s="2" t="s">
        <v>26</v>
      </c>
      <c r="I375" s="2" t="s">
        <v>27</v>
      </c>
      <c r="J375" s="2" t="s">
        <v>20</v>
      </c>
      <c r="K375" s="2" t="s">
        <v>39</v>
      </c>
      <c r="L375">
        <v>9</v>
      </c>
      <c r="M375">
        <v>1662.71</v>
      </c>
      <c r="N375">
        <v>14964.39</v>
      </c>
      <c r="O375" t="s">
        <v>29</v>
      </c>
      <c r="P375" s="2" t="s">
        <v>48</v>
      </c>
      <c r="Q375" s="2" t="s">
        <v>24</v>
      </c>
    </row>
    <row r="376" spans="1:17" hidden="1" x14ac:dyDescent="0.3">
      <c r="A376">
        <v>202400913</v>
      </c>
      <c r="B376" s="1">
        <v>45465</v>
      </c>
      <c r="C376">
        <v>2024</v>
      </c>
      <c r="D376">
        <v>2</v>
      </c>
      <c r="E376">
        <v>6</v>
      </c>
      <c r="F376">
        <v>21</v>
      </c>
      <c r="G376" s="2" t="s">
        <v>53</v>
      </c>
      <c r="H376" s="2" t="s">
        <v>26</v>
      </c>
      <c r="I376" s="2" t="s">
        <v>78</v>
      </c>
      <c r="J376" s="2" t="s">
        <v>75</v>
      </c>
      <c r="K376" s="2" t="s">
        <v>42</v>
      </c>
      <c r="L376">
        <v>5</v>
      </c>
      <c r="M376">
        <v>987.89</v>
      </c>
      <c r="N376">
        <v>4939.45</v>
      </c>
      <c r="O376" t="s">
        <v>29</v>
      </c>
      <c r="P376" s="2" t="s">
        <v>23</v>
      </c>
      <c r="Q376" s="2" t="s">
        <v>40</v>
      </c>
    </row>
    <row r="377" spans="1:17" hidden="1" x14ac:dyDescent="0.3">
      <c r="A377">
        <v>202400803</v>
      </c>
      <c r="B377" s="1">
        <v>45611</v>
      </c>
      <c r="C377">
        <v>2024</v>
      </c>
      <c r="D377">
        <v>4</v>
      </c>
      <c r="E377">
        <v>11</v>
      </c>
      <c r="F377">
        <v>62</v>
      </c>
      <c r="G377" s="2" t="s">
        <v>118</v>
      </c>
      <c r="H377" s="2" t="s">
        <v>18</v>
      </c>
      <c r="I377" s="2" t="s">
        <v>54</v>
      </c>
      <c r="J377" s="2" t="s">
        <v>20</v>
      </c>
      <c r="K377" s="2" t="s">
        <v>70</v>
      </c>
      <c r="L377">
        <v>9</v>
      </c>
      <c r="M377">
        <v>1516.63</v>
      </c>
      <c r="N377">
        <v>13649.670000000002</v>
      </c>
      <c r="O377" t="s">
        <v>29</v>
      </c>
      <c r="P377" s="2" t="s">
        <v>43</v>
      </c>
      <c r="Q377" s="2" t="s">
        <v>31</v>
      </c>
    </row>
    <row r="378" spans="1:17" x14ac:dyDescent="0.3">
      <c r="A378">
        <v>202400567</v>
      </c>
      <c r="B378" s="1">
        <v>45334</v>
      </c>
      <c r="C378">
        <v>2024</v>
      </c>
      <c r="D378">
        <v>1</v>
      </c>
      <c r="E378">
        <v>2</v>
      </c>
      <c r="F378">
        <v>61</v>
      </c>
      <c r="G378" s="2" t="s">
        <v>90</v>
      </c>
      <c r="H378" s="2" t="s">
        <v>69</v>
      </c>
      <c r="I378" s="2" t="s">
        <v>65</v>
      </c>
      <c r="J378" s="2" t="s">
        <v>34</v>
      </c>
      <c r="K378" s="2" t="s">
        <v>28</v>
      </c>
      <c r="L378">
        <v>2</v>
      </c>
      <c r="M378">
        <v>1522.66</v>
      </c>
      <c r="N378">
        <v>3045.32</v>
      </c>
      <c r="O378" t="s">
        <v>36</v>
      </c>
      <c r="P378" s="2" t="s">
        <v>48</v>
      </c>
      <c r="Q378" s="2" t="s">
        <v>31</v>
      </c>
    </row>
    <row r="379" spans="1:17" hidden="1" x14ac:dyDescent="0.3">
      <c r="A379">
        <v>202400729</v>
      </c>
      <c r="B379" s="1">
        <v>45490</v>
      </c>
      <c r="C379">
        <v>2024</v>
      </c>
      <c r="D379">
        <v>3</v>
      </c>
      <c r="E379">
        <v>7</v>
      </c>
      <c r="F379">
        <v>17</v>
      </c>
      <c r="G379" s="2" t="s">
        <v>77</v>
      </c>
      <c r="H379" s="2" t="s">
        <v>69</v>
      </c>
      <c r="I379" s="2" t="s">
        <v>78</v>
      </c>
      <c r="J379" s="2" t="s">
        <v>75</v>
      </c>
      <c r="K379" s="2" t="s">
        <v>42</v>
      </c>
      <c r="L379">
        <v>12</v>
      </c>
      <c r="M379">
        <v>1523.56</v>
      </c>
      <c r="N379">
        <v>18282.72</v>
      </c>
      <c r="O379" t="s">
        <v>22</v>
      </c>
      <c r="P379" s="2" t="s">
        <v>48</v>
      </c>
      <c r="Q379" s="2" t="s">
        <v>24</v>
      </c>
    </row>
    <row r="380" spans="1:17" hidden="1" x14ac:dyDescent="0.3">
      <c r="A380">
        <v>202400747</v>
      </c>
      <c r="B380" s="1">
        <v>45496</v>
      </c>
      <c r="C380">
        <v>2024</v>
      </c>
      <c r="D380">
        <v>3</v>
      </c>
      <c r="E380">
        <v>7</v>
      </c>
      <c r="F380">
        <v>17</v>
      </c>
      <c r="G380" s="2" t="s">
        <v>77</v>
      </c>
      <c r="H380" s="2" t="s">
        <v>69</v>
      </c>
      <c r="I380" s="2" t="s">
        <v>78</v>
      </c>
      <c r="J380" s="2" t="s">
        <v>75</v>
      </c>
      <c r="K380" s="2" t="s">
        <v>21</v>
      </c>
      <c r="L380">
        <v>5</v>
      </c>
      <c r="M380">
        <v>654.04</v>
      </c>
      <c r="N380">
        <v>3270.2</v>
      </c>
      <c r="O380" t="s">
        <v>29</v>
      </c>
      <c r="P380" s="2" t="s">
        <v>43</v>
      </c>
      <c r="Q380" s="2" t="s">
        <v>24</v>
      </c>
    </row>
    <row r="381" spans="1:17" hidden="1" x14ac:dyDescent="0.3">
      <c r="A381">
        <v>202400515</v>
      </c>
      <c r="B381" s="1">
        <v>45421</v>
      </c>
      <c r="C381">
        <v>2024</v>
      </c>
      <c r="D381">
        <v>2</v>
      </c>
      <c r="E381">
        <v>5</v>
      </c>
      <c r="F381">
        <v>26</v>
      </c>
      <c r="G381" s="2" t="s">
        <v>89</v>
      </c>
      <c r="H381" s="2" t="s">
        <v>62</v>
      </c>
      <c r="I381" s="2" t="s">
        <v>67</v>
      </c>
      <c r="J381" s="2" t="s">
        <v>20</v>
      </c>
      <c r="K381" s="2" t="s">
        <v>52</v>
      </c>
      <c r="L381">
        <v>10</v>
      </c>
      <c r="M381">
        <v>516.80999999999995</v>
      </c>
      <c r="N381">
        <v>5168.0999999999995</v>
      </c>
      <c r="O381" t="s">
        <v>22</v>
      </c>
      <c r="P381" s="2" t="s">
        <v>30</v>
      </c>
      <c r="Q381" s="2" t="s">
        <v>24</v>
      </c>
    </row>
    <row r="382" spans="1:17" hidden="1" x14ac:dyDescent="0.3">
      <c r="A382">
        <v>202400326</v>
      </c>
      <c r="B382" s="1">
        <v>45543</v>
      </c>
      <c r="C382">
        <v>2024</v>
      </c>
      <c r="D382">
        <v>3</v>
      </c>
      <c r="E382">
        <v>9</v>
      </c>
      <c r="F382">
        <v>28</v>
      </c>
      <c r="G382" s="2" t="s">
        <v>114</v>
      </c>
      <c r="H382" s="2" t="s">
        <v>62</v>
      </c>
      <c r="I382" s="2" t="s">
        <v>33</v>
      </c>
      <c r="J382" s="2" t="s">
        <v>34</v>
      </c>
      <c r="K382" s="2" t="s">
        <v>52</v>
      </c>
      <c r="L382">
        <v>3</v>
      </c>
      <c r="M382">
        <v>1012.19</v>
      </c>
      <c r="N382">
        <v>3036.57</v>
      </c>
      <c r="O382" t="s">
        <v>29</v>
      </c>
      <c r="P382" s="2" t="s">
        <v>43</v>
      </c>
      <c r="Q382" s="2" t="s">
        <v>24</v>
      </c>
    </row>
    <row r="383" spans="1:17" hidden="1" x14ac:dyDescent="0.3">
      <c r="A383">
        <v>202400945</v>
      </c>
      <c r="B383" s="1">
        <v>45450</v>
      </c>
      <c r="C383">
        <v>2024</v>
      </c>
      <c r="D383">
        <v>2</v>
      </c>
      <c r="E383">
        <v>6</v>
      </c>
      <c r="F383">
        <v>37</v>
      </c>
      <c r="G383" s="2" t="s">
        <v>96</v>
      </c>
      <c r="H383" s="2" t="s">
        <v>62</v>
      </c>
      <c r="I383" s="2" t="s">
        <v>56</v>
      </c>
      <c r="J383" s="2" t="s">
        <v>57</v>
      </c>
      <c r="K383" s="2" t="s">
        <v>58</v>
      </c>
      <c r="L383">
        <v>4</v>
      </c>
      <c r="M383">
        <v>1657.91</v>
      </c>
      <c r="N383">
        <v>6631.64</v>
      </c>
      <c r="O383" t="s">
        <v>29</v>
      </c>
      <c r="P383" s="2" t="s">
        <v>30</v>
      </c>
      <c r="Q383" s="2" t="s">
        <v>24</v>
      </c>
    </row>
    <row r="384" spans="1:17" hidden="1" x14ac:dyDescent="0.3">
      <c r="A384">
        <v>202400317</v>
      </c>
      <c r="B384" s="1">
        <v>45517</v>
      </c>
      <c r="C384">
        <v>2024</v>
      </c>
      <c r="D384">
        <v>3</v>
      </c>
      <c r="E384">
        <v>8</v>
      </c>
      <c r="F384">
        <v>15</v>
      </c>
      <c r="G384" s="2" t="s">
        <v>115</v>
      </c>
      <c r="H384" s="2" t="s">
        <v>140</v>
      </c>
      <c r="I384" s="2" t="s">
        <v>19</v>
      </c>
      <c r="J384" s="2" t="s">
        <v>20</v>
      </c>
      <c r="K384" s="2" t="s">
        <v>70</v>
      </c>
      <c r="L384">
        <v>1</v>
      </c>
      <c r="M384">
        <v>630.47</v>
      </c>
      <c r="N384">
        <v>630.47</v>
      </c>
      <c r="O384" t="s">
        <v>36</v>
      </c>
      <c r="P384" s="2" t="s">
        <v>30</v>
      </c>
      <c r="Q384" s="2" t="s">
        <v>24</v>
      </c>
    </row>
    <row r="385" spans="1:17" hidden="1" x14ac:dyDescent="0.3">
      <c r="A385">
        <v>202400812</v>
      </c>
      <c r="B385" s="1">
        <v>45513</v>
      </c>
      <c r="C385">
        <v>2024</v>
      </c>
      <c r="D385">
        <v>3</v>
      </c>
      <c r="E385">
        <v>8</v>
      </c>
      <c r="F385">
        <v>36</v>
      </c>
      <c r="G385" s="2" t="s">
        <v>123</v>
      </c>
      <c r="H385" s="2" t="s">
        <v>62</v>
      </c>
      <c r="I385" s="2" t="s">
        <v>54</v>
      </c>
      <c r="J385" s="2" t="s">
        <v>20</v>
      </c>
      <c r="K385" s="2" t="s">
        <v>39</v>
      </c>
      <c r="L385">
        <v>8</v>
      </c>
      <c r="M385">
        <v>748.5</v>
      </c>
      <c r="N385">
        <v>5988</v>
      </c>
      <c r="O385" t="s">
        <v>29</v>
      </c>
      <c r="P385" s="2" t="s">
        <v>43</v>
      </c>
      <c r="Q385" s="2" t="s">
        <v>24</v>
      </c>
    </row>
    <row r="386" spans="1:17" hidden="1" x14ac:dyDescent="0.3">
      <c r="A386">
        <v>202400847</v>
      </c>
      <c r="B386" s="1">
        <v>45447</v>
      </c>
      <c r="C386">
        <v>2024</v>
      </c>
      <c r="D386">
        <v>2</v>
      </c>
      <c r="E386">
        <v>6</v>
      </c>
      <c r="F386">
        <v>45</v>
      </c>
      <c r="G386" s="2" t="s">
        <v>103</v>
      </c>
      <c r="H386" s="2" t="s">
        <v>26</v>
      </c>
      <c r="I386" s="2" t="s">
        <v>56</v>
      </c>
      <c r="J386" s="2" t="s">
        <v>57</v>
      </c>
      <c r="K386" s="2" t="s">
        <v>71</v>
      </c>
      <c r="L386">
        <v>7</v>
      </c>
      <c r="M386">
        <v>1589.36</v>
      </c>
      <c r="N386">
        <v>11125.519999999999</v>
      </c>
      <c r="O386" t="s">
        <v>29</v>
      </c>
      <c r="P386" s="2" t="s">
        <v>43</v>
      </c>
      <c r="Q386" s="2" t="s">
        <v>40</v>
      </c>
    </row>
    <row r="387" spans="1:17" hidden="1" x14ac:dyDescent="0.3">
      <c r="A387">
        <v>202400542</v>
      </c>
      <c r="B387" s="1">
        <v>45567</v>
      </c>
      <c r="C387">
        <v>2024</v>
      </c>
      <c r="D387">
        <v>4</v>
      </c>
      <c r="E387">
        <v>10</v>
      </c>
      <c r="F387">
        <v>21</v>
      </c>
      <c r="G387" s="2" t="s">
        <v>53</v>
      </c>
      <c r="H387" s="2" t="s">
        <v>26</v>
      </c>
      <c r="I387" s="2" t="s">
        <v>78</v>
      </c>
      <c r="J387" s="2" t="s">
        <v>75</v>
      </c>
      <c r="K387" s="2" t="s">
        <v>71</v>
      </c>
      <c r="L387">
        <v>6</v>
      </c>
      <c r="M387">
        <v>1746.54</v>
      </c>
      <c r="N387">
        <v>10479.24</v>
      </c>
      <c r="O387" t="s">
        <v>29</v>
      </c>
      <c r="P387" s="2" t="s">
        <v>48</v>
      </c>
      <c r="Q387" s="2" t="s">
        <v>24</v>
      </c>
    </row>
    <row r="388" spans="1:17" hidden="1" x14ac:dyDescent="0.3">
      <c r="A388">
        <v>202400702</v>
      </c>
      <c r="B388" s="1">
        <v>45587</v>
      </c>
      <c r="C388">
        <v>2024</v>
      </c>
      <c r="D388">
        <v>4</v>
      </c>
      <c r="E388">
        <v>10</v>
      </c>
      <c r="F388">
        <v>45</v>
      </c>
      <c r="G388" s="2" t="s">
        <v>103</v>
      </c>
      <c r="H388" s="2" t="s">
        <v>26</v>
      </c>
      <c r="I388" s="2" t="s">
        <v>56</v>
      </c>
      <c r="J388" s="2" t="s">
        <v>57</v>
      </c>
      <c r="K388" s="2" t="s">
        <v>47</v>
      </c>
      <c r="L388">
        <v>10</v>
      </c>
      <c r="M388">
        <v>1246.67</v>
      </c>
      <c r="N388">
        <v>12466.7</v>
      </c>
      <c r="O388" t="s">
        <v>22</v>
      </c>
      <c r="P388" s="2" t="s">
        <v>43</v>
      </c>
      <c r="Q388" s="2" t="s">
        <v>24</v>
      </c>
    </row>
    <row r="389" spans="1:17" x14ac:dyDescent="0.3">
      <c r="A389">
        <v>202401035</v>
      </c>
      <c r="B389" s="1">
        <v>45332</v>
      </c>
      <c r="C389">
        <v>2024</v>
      </c>
      <c r="D389">
        <v>1</v>
      </c>
      <c r="E389">
        <v>2</v>
      </c>
      <c r="F389">
        <v>47</v>
      </c>
      <c r="G389" s="2" t="s">
        <v>120</v>
      </c>
      <c r="H389" s="2" t="s">
        <v>140</v>
      </c>
      <c r="I389" s="2" t="s">
        <v>38</v>
      </c>
      <c r="J389" s="2" t="s">
        <v>20</v>
      </c>
      <c r="K389" s="2" t="s">
        <v>21</v>
      </c>
      <c r="L389">
        <v>0</v>
      </c>
      <c r="M389">
        <v>1298</v>
      </c>
      <c r="N389">
        <v>0</v>
      </c>
      <c r="O389" t="s">
        <v>36</v>
      </c>
      <c r="P389" s="2" t="s">
        <v>43</v>
      </c>
      <c r="Q389" s="2" t="s">
        <v>31</v>
      </c>
    </row>
    <row r="390" spans="1:17" x14ac:dyDescent="0.3">
      <c r="A390">
        <v>202400766</v>
      </c>
      <c r="B390" s="1">
        <v>45331</v>
      </c>
      <c r="C390">
        <v>2024</v>
      </c>
      <c r="D390">
        <v>1</v>
      </c>
      <c r="E390">
        <v>2</v>
      </c>
      <c r="F390">
        <v>61</v>
      </c>
      <c r="G390" s="2" t="s">
        <v>90</v>
      </c>
      <c r="H390" s="2" t="s">
        <v>69</v>
      </c>
      <c r="I390" s="2" t="s">
        <v>65</v>
      </c>
      <c r="J390" s="2" t="s">
        <v>34</v>
      </c>
      <c r="K390" s="2" t="s">
        <v>60</v>
      </c>
      <c r="L390">
        <v>11</v>
      </c>
      <c r="M390">
        <v>331.3</v>
      </c>
      <c r="N390">
        <v>3644.3</v>
      </c>
      <c r="O390" t="s">
        <v>22</v>
      </c>
      <c r="P390" s="2" t="s">
        <v>43</v>
      </c>
      <c r="Q390" s="2" t="s">
        <v>24</v>
      </c>
    </row>
    <row r="391" spans="1:17" hidden="1" x14ac:dyDescent="0.3">
      <c r="A391">
        <v>202400561</v>
      </c>
      <c r="B391" s="1">
        <v>45445</v>
      </c>
      <c r="C391">
        <v>2024</v>
      </c>
      <c r="D391">
        <v>2</v>
      </c>
      <c r="E391">
        <v>6</v>
      </c>
      <c r="F391">
        <v>35</v>
      </c>
      <c r="G391" s="2" t="s">
        <v>99</v>
      </c>
      <c r="H391" s="2" t="s">
        <v>140</v>
      </c>
      <c r="I391" s="2" t="s">
        <v>27</v>
      </c>
      <c r="J391" s="2" t="s">
        <v>20</v>
      </c>
      <c r="K391" s="2" t="s">
        <v>21</v>
      </c>
      <c r="L391">
        <v>8</v>
      </c>
      <c r="M391">
        <v>921.27</v>
      </c>
      <c r="N391">
        <v>7370.16</v>
      </c>
      <c r="O391" t="s">
        <v>29</v>
      </c>
      <c r="P391" s="2" t="s">
        <v>23</v>
      </c>
      <c r="Q391" s="2" t="s">
        <v>41</v>
      </c>
    </row>
    <row r="392" spans="1:17" hidden="1" x14ac:dyDescent="0.3">
      <c r="A392">
        <v>202400061</v>
      </c>
      <c r="B392" s="1">
        <v>45618</v>
      </c>
      <c r="C392">
        <v>2024</v>
      </c>
      <c r="D392">
        <v>4</v>
      </c>
      <c r="E392">
        <v>11</v>
      </c>
      <c r="F392">
        <v>11</v>
      </c>
      <c r="G392" s="2" t="s">
        <v>66</v>
      </c>
      <c r="H392" s="2" t="s">
        <v>18</v>
      </c>
      <c r="I392" s="2" t="s">
        <v>67</v>
      </c>
      <c r="J392" s="2" t="s">
        <v>20</v>
      </c>
      <c r="K392" s="2" t="s">
        <v>47</v>
      </c>
      <c r="L392">
        <v>8</v>
      </c>
      <c r="M392">
        <v>545.19000000000005</v>
      </c>
      <c r="N392">
        <v>4361.5200000000004</v>
      </c>
      <c r="O392" t="s">
        <v>29</v>
      </c>
      <c r="P392" s="2" t="s">
        <v>43</v>
      </c>
      <c r="Q392" s="2" t="s">
        <v>24</v>
      </c>
    </row>
    <row r="393" spans="1:17" hidden="1" x14ac:dyDescent="0.3">
      <c r="A393">
        <v>202400740</v>
      </c>
      <c r="B393" s="1">
        <v>45482</v>
      </c>
      <c r="C393">
        <v>2024</v>
      </c>
      <c r="D393">
        <v>3</v>
      </c>
      <c r="E393">
        <v>7</v>
      </c>
      <c r="F393">
        <v>22</v>
      </c>
      <c r="G393" s="2" t="s">
        <v>79</v>
      </c>
      <c r="H393" s="2" t="s">
        <v>18</v>
      </c>
      <c r="I393" s="2" t="s">
        <v>65</v>
      </c>
      <c r="J393" s="2" t="s">
        <v>34</v>
      </c>
      <c r="K393" s="2" t="s">
        <v>60</v>
      </c>
      <c r="L393">
        <v>1</v>
      </c>
      <c r="M393">
        <v>540.20000000000005</v>
      </c>
      <c r="N393">
        <v>540.20000000000005</v>
      </c>
      <c r="O393" t="s">
        <v>36</v>
      </c>
      <c r="P393" s="2" t="s">
        <v>23</v>
      </c>
      <c r="Q393" s="2" t="s">
        <v>40</v>
      </c>
    </row>
    <row r="394" spans="1:17" hidden="1" x14ac:dyDescent="0.3">
      <c r="A394">
        <v>202400093</v>
      </c>
      <c r="B394" s="1">
        <v>45571</v>
      </c>
      <c r="C394">
        <v>2024</v>
      </c>
      <c r="D394">
        <v>4</v>
      </c>
      <c r="E394">
        <v>10</v>
      </c>
      <c r="F394">
        <v>18</v>
      </c>
      <c r="G394" s="2" t="s">
        <v>116</v>
      </c>
      <c r="H394" s="2" t="s">
        <v>62</v>
      </c>
      <c r="I394" s="2" t="s">
        <v>54</v>
      </c>
      <c r="J394" s="2" t="s">
        <v>20</v>
      </c>
      <c r="K394" s="2" t="s">
        <v>35</v>
      </c>
      <c r="L394">
        <v>8</v>
      </c>
      <c r="M394">
        <v>1789.96</v>
      </c>
      <c r="N394">
        <v>14319.68</v>
      </c>
      <c r="O394" t="s">
        <v>29</v>
      </c>
      <c r="P394" s="2" t="s">
        <v>43</v>
      </c>
      <c r="Q394" s="2" t="s">
        <v>24</v>
      </c>
    </row>
    <row r="395" spans="1:17" x14ac:dyDescent="0.3">
      <c r="A395">
        <v>202400877</v>
      </c>
      <c r="B395" s="1">
        <v>45354</v>
      </c>
      <c r="C395">
        <v>2024</v>
      </c>
      <c r="D395">
        <v>1</v>
      </c>
      <c r="E395">
        <v>3</v>
      </c>
      <c r="F395">
        <v>16</v>
      </c>
      <c r="G395" s="2" t="s">
        <v>91</v>
      </c>
      <c r="H395" s="2" t="s">
        <v>18</v>
      </c>
      <c r="I395" s="2" t="s">
        <v>65</v>
      </c>
      <c r="J395" s="2" t="s">
        <v>34</v>
      </c>
      <c r="K395" s="2" t="s">
        <v>21</v>
      </c>
      <c r="L395">
        <v>7</v>
      </c>
      <c r="M395">
        <v>327.87</v>
      </c>
      <c r="N395">
        <v>2295.09</v>
      </c>
      <c r="O395" t="s">
        <v>29</v>
      </c>
      <c r="P395" s="2" t="s">
        <v>23</v>
      </c>
      <c r="Q395" s="2" t="s">
        <v>40</v>
      </c>
    </row>
    <row r="396" spans="1:17" hidden="1" x14ac:dyDescent="0.3">
      <c r="A396">
        <v>202400713</v>
      </c>
      <c r="B396" s="1">
        <v>45434</v>
      </c>
      <c r="C396">
        <v>2024</v>
      </c>
      <c r="D396">
        <v>2</v>
      </c>
      <c r="E396">
        <v>5</v>
      </c>
      <c r="F396">
        <v>59</v>
      </c>
      <c r="G396" s="2" t="s">
        <v>73</v>
      </c>
      <c r="H396" s="2" t="s">
        <v>62</v>
      </c>
      <c r="I396" s="2" t="s">
        <v>74</v>
      </c>
      <c r="J396" s="2" t="s">
        <v>75</v>
      </c>
      <c r="K396" s="2" t="s">
        <v>35</v>
      </c>
      <c r="L396">
        <v>2</v>
      </c>
      <c r="M396">
        <v>578.65</v>
      </c>
      <c r="N396">
        <v>1157.3</v>
      </c>
      <c r="O396" t="s">
        <v>36</v>
      </c>
      <c r="P396" s="2" t="s">
        <v>30</v>
      </c>
      <c r="Q396" s="2" t="s">
        <v>41</v>
      </c>
    </row>
    <row r="397" spans="1:17" hidden="1" x14ac:dyDescent="0.3">
      <c r="A397">
        <v>202400352</v>
      </c>
      <c r="B397" s="1">
        <v>45526</v>
      </c>
      <c r="C397">
        <v>2024</v>
      </c>
      <c r="D397">
        <v>3</v>
      </c>
      <c r="E397">
        <v>8</v>
      </c>
      <c r="F397">
        <v>11</v>
      </c>
      <c r="G397" s="2" t="s">
        <v>66</v>
      </c>
      <c r="H397" s="2" t="s">
        <v>18</v>
      </c>
      <c r="I397" s="2" t="s">
        <v>67</v>
      </c>
      <c r="J397" s="2" t="s">
        <v>20</v>
      </c>
      <c r="K397" s="2" t="s">
        <v>70</v>
      </c>
      <c r="L397">
        <v>9</v>
      </c>
      <c r="M397">
        <v>746.72</v>
      </c>
      <c r="N397">
        <v>6720.4800000000005</v>
      </c>
      <c r="O397" t="s">
        <v>29</v>
      </c>
      <c r="P397" s="2" t="s">
        <v>43</v>
      </c>
      <c r="Q397" s="2" t="s">
        <v>24</v>
      </c>
    </row>
    <row r="398" spans="1:17" hidden="1" x14ac:dyDescent="0.3">
      <c r="A398">
        <v>202400954</v>
      </c>
      <c r="B398" s="1">
        <v>45538</v>
      </c>
      <c r="C398">
        <v>2024</v>
      </c>
      <c r="D398">
        <v>3</v>
      </c>
      <c r="E398">
        <v>9</v>
      </c>
      <c r="F398">
        <v>64</v>
      </c>
      <c r="G398" s="2" t="s">
        <v>106</v>
      </c>
      <c r="H398" s="2" t="s">
        <v>26</v>
      </c>
      <c r="I398" s="2" t="s">
        <v>27</v>
      </c>
      <c r="J398" s="2" t="s">
        <v>20</v>
      </c>
      <c r="K398" s="2" t="s">
        <v>58</v>
      </c>
      <c r="L398">
        <v>8</v>
      </c>
      <c r="M398">
        <v>532.1</v>
      </c>
      <c r="N398">
        <v>4256.8</v>
      </c>
      <c r="O398" t="s">
        <v>29</v>
      </c>
      <c r="P398" s="2" t="s">
        <v>43</v>
      </c>
      <c r="Q398" s="2" t="s">
        <v>24</v>
      </c>
    </row>
    <row r="399" spans="1:17" hidden="1" x14ac:dyDescent="0.3">
      <c r="A399">
        <v>202400281</v>
      </c>
      <c r="B399" s="1">
        <v>45413</v>
      </c>
      <c r="C399">
        <v>2024</v>
      </c>
      <c r="D399">
        <v>2</v>
      </c>
      <c r="E399">
        <v>5</v>
      </c>
      <c r="F399">
        <v>18</v>
      </c>
      <c r="G399" s="2" t="s">
        <v>116</v>
      </c>
      <c r="H399" s="2" t="s">
        <v>62</v>
      </c>
      <c r="I399" s="2" t="s">
        <v>54</v>
      </c>
      <c r="J399" s="2" t="s">
        <v>20</v>
      </c>
      <c r="K399" s="2" t="s">
        <v>28</v>
      </c>
      <c r="L399">
        <v>2</v>
      </c>
      <c r="M399">
        <v>1922.54</v>
      </c>
      <c r="N399">
        <v>3845.08</v>
      </c>
      <c r="O399" t="s">
        <v>36</v>
      </c>
      <c r="P399" s="2" t="s">
        <v>48</v>
      </c>
      <c r="Q399" s="2" t="s">
        <v>24</v>
      </c>
    </row>
    <row r="400" spans="1:17" hidden="1" x14ac:dyDescent="0.3">
      <c r="A400">
        <v>202401089</v>
      </c>
      <c r="B400" s="1">
        <v>45529</v>
      </c>
      <c r="C400">
        <v>2024</v>
      </c>
      <c r="D400">
        <v>3</v>
      </c>
      <c r="E400">
        <v>8</v>
      </c>
      <c r="F400">
        <v>47</v>
      </c>
      <c r="G400" s="2" t="s">
        <v>120</v>
      </c>
      <c r="H400" s="2" t="s">
        <v>140</v>
      </c>
      <c r="I400" s="2" t="s">
        <v>38</v>
      </c>
      <c r="J400" s="2" t="s">
        <v>20</v>
      </c>
      <c r="K400" s="2" t="s">
        <v>51</v>
      </c>
      <c r="L400">
        <v>6</v>
      </c>
      <c r="M400">
        <v>638.91</v>
      </c>
      <c r="N400">
        <v>3833.46</v>
      </c>
      <c r="O400" t="s">
        <v>29</v>
      </c>
      <c r="P400" s="2" t="s">
        <v>30</v>
      </c>
      <c r="Q400" s="2" t="s">
        <v>24</v>
      </c>
    </row>
    <row r="401" spans="1:17" hidden="1" x14ac:dyDescent="0.3">
      <c r="A401">
        <v>202400423</v>
      </c>
      <c r="B401" s="1">
        <v>45390</v>
      </c>
      <c r="C401">
        <v>2024</v>
      </c>
      <c r="D401">
        <v>2</v>
      </c>
      <c r="E401">
        <v>4</v>
      </c>
      <c r="F401">
        <v>45</v>
      </c>
      <c r="G401" s="2" t="s">
        <v>103</v>
      </c>
      <c r="H401" s="2" t="s">
        <v>26</v>
      </c>
      <c r="I401" s="2" t="s">
        <v>56</v>
      </c>
      <c r="J401" s="2" t="s">
        <v>57</v>
      </c>
      <c r="K401" s="2" t="s">
        <v>52</v>
      </c>
      <c r="L401">
        <v>1</v>
      </c>
      <c r="M401">
        <v>752.16</v>
      </c>
      <c r="N401">
        <v>752.16</v>
      </c>
      <c r="O401" t="s">
        <v>36</v>
      </c>
      <c r="P401" s="2" t="s">
        <v>43</v>
      </c>
      <c r="Q401" s="2" t="s">
        <v>40</v>
      </c>
    </row>
    <row r="402" spans="1:17" hidden="1" x14ac:dyDescent="0.3">
      <c r="A402">
        <v>202400360</v>
      </c>
      <c r="B402" s="1">
        <v>45487</v>
      </c>
      <c r="C402">
        <v>2024</v>
      </c>
      <c r="D402">
        <v>3</v>
      </c>
      <c r="E402">
        <v>7</v>
      </c>
      <c r="F402">
        <v>60</v>
      </c>
      <c r="G402" s="2" t="s">
        <v>101</v>
      </c>
      <c r="H402" s="2" t="s">
        <v>62</v>
      </c>
      <c r="I402" s="2" t="s">
        <v>54</v>
      </c>
      <c r="J402" s="2" t="s">
        <v>20</v>
      </c>
      <c r="K402" s="2" t="s">
        <v>97</v>
      </c>
      <c r="L402">
        <v>1</v>
      </c>
      <c r="M402">
        <v>893.39</v>
      </c>
      <c r="N402">
        <v>893.39</v>
      </c>
      <c r="O402" t="s">
        <v>36</v>
      </c>
      <c r="P402" s="2" t="s">
        <v>43</v>
      </c>
      <c r="Q402" s="2" t="s">
        <v>24</v>
      </c>
    </row>
    <row r="403" spans="1:17" x14ac:dyDescent="0.3">
      <c r="A403">
        <v>202400494</v>
      </c>
      <c r="B403" s="1">
        <v>45377</v>
      </c>
      <c r="C403">
        <v>2024</v>
      </c>
      <c r="D403">
        <v>1</v>
      </c>
      <c r="E403">
        <v>3</v>
      </c>
      <c r="F403">
        <v>6</v>
      </c>
      <c r="G403" s="2" t="s">
        <v>55</v>
      </c>
      <c r="H403" s="2" t="s">
        <v>26</v>
      </c>
      <c r="I403" s="2" t="s">
        <v>56</v>
      </c>
      <c r="J403" s="2" t="s">
        <v>57</v>
      </c>
      <c r="K403" s="2" t="s">
        <v>70</v>
      </c>
      <c r="L403">
        <v>5</v>
      </c>
      <c r="M403">
        <v>903.36</v>
      </c>
      <c r="N403">
        <v>4516.8</v>
      </c>
      <c r="O403" t="s">
        <v>29</v>
      </c>
      <c r="P403" s="2" t="s">
        <v>23</v>
      </c>
      <c r="Q403" s="2" t="s">
        <v>24</v>
      </c>
    </row>
    <row r="404" spans="1:17" x14ac:dyDescent="0.3">
      <c r="A404">
        <v>202400562</v>
      </c>
      <c r="B404" s="1">
        <v>45374</v>
      </c>
      <c r="C404">
        <v>2024</v>
      </c>
      <c r="D404">
        <v>1</v>
      </c>
      <c r="E404">
        <v>3</v>
      </c>
      <c r="F404">
        <v>70</v>
      </c>
      <c r="G404" s="2" t="s">
        <v>94</v>
      </c>
      <c r="H404" s="2" t="s">
        <v>18</v>
      </c>
      <c r="I404" s="2" t="s">
        <v>78</v>
      </c>
      <c r="J404" s="2" t="s">
        <v>75</v>
      </c>
      <c r="K404" s="2" t="s">
        <v>58</v>
      </c>
      <c r="L404">
        <v>6</v>
      </c>
      <c r="M404">
        <v>1673.98</v>
      </c>
      <c r="N404">
        <v>10043.880000000001</v>
      </c>
      <c r="O404" t="s">
        <v>29</v>
      </c>
      <c r="P404" s="2" t="s">
        <v>43</v>
      </c>
      <c r="Q404" s="2" t="s">
        <v>24</v>
      </c>
    </row>
    <row r="405" spans="1:17" hidden="1" x14ac:dyDescent="0.3">
      <c r="A405">
        <v>202400851</v>
      </c>
      <c r="B405" s="1">
        <v>45555</v>
      </c>
      <c r="C405">
        <v>2024</v>
      </c>
      <c r="D405">
        <v>3</v>
      </c>
      <c r="E405">
        <v>9</v>
      </c>
      <c r="F405">
        <v>23</v>
      </c>
      <c r="G405" s="2" t="s">
        <v>86</v>
      </c>
      <c r="H405" s="2" t="s">
        <v>26</v>
      </c>
      <c r="I405" s="2" t="s">
        <v>33</v>
      </c>
      <c r="J405" s="2" t="s">
        <v>34</v>
      </c>
      <c r="K405" s="2" t="s">
        <v>50</v>
      </c>
      <c r="L405">
        <v>13</v>
      </c>
      <c r="M405">
        <v>529.49</v>
      </c>
      <c r="N405">
        <v>6883.37</v>
      </c>
      <c r="O405" t="s">
        <v>22</v>
      </c>
      <c r="P405" s="2" t="s">
        <v>23</v>
      </c>
      <c r="Q405" s="2" t="s">
        <v>24</v>
      </c>
    </row>
    <row r="406" spans="1:17" hidden="1" x14ac:dyDescent="0.3">
      <c r="A406">
        <v>202400589</v>
      </c>
      <c r="B406" s="1">
        <v>45608</v>
      </c>
      <c r="C406">
        <v>2024</v>
      </c>
      <c r="D406">
        <v>4</v>
      </c>
      <c r="E406">
        <v>11</v>
      </c>
      <c r="F406">
        <v>47</v>
      </c>
      <c r="G406" s="2" t="s">
        <v>120</v>
      </c>
      <c r="H406" s="2" t="s">
        <v>140</v>
      </c>
      <c r="I406" s="2" t="s">
        <v>38</v>
      </c>
      <c r="J406" s="2" t="s">
        <v>20</v>
      </c>
      <c r="K406" s="2" t="s">
        <v>51</v>
      </c>
      <c r="L406">
        <v>5</v>
      </c>
      <c r="M406">
        <v>1259.6500000000001</v>
      </c>
      <c r="N406">
        <v>6298.25</v>
      </c>
      <c r="O406" t="s">
        <v>29</v>
      </c>
      <c r="P406" s="2" t="s">
        <v>43</v>
      </c>
      <c r="Q406" s="2" t="s">
        <v>41</v>
      </c>
    </row>
    <row r="407" spans="1:17" hidden="1" x14ac:dyDescent="0.3">
      <c r="A407">
        <v>202400669</v>
      </c>
      <c r="B407" s="1">
        <v>45601</v>
      </c>
      <c r="C407">
        <v>2024</v>
      </c>
      <c r="D407">
        <v>4</v>
      </c>
      <c r="E407">
        <v>11</v>
      </c>
      <c r="F407">
        <v>61</v>
      </c>
      <c r="G407" s="2" t="s">
        <v>90</v>
      </c>
      <c r="H407" s="2" t="s">
        <v>69</v>
      </c>
      <c r="I407" s="2" t="s">
        <v>65</v>
      </c>
      <c r="J407" s="2" t="s">
        <v>34</v>
      </c>
      <c r="K407" s="2" t="s">
        <v>70</v>
      </c>
      <c r="L407">
        <v>2</v>
      </c>
      <c r="M407">
        <v>1167.9100000000001</v>
      </c>
      <c r="N407">
        <v>2335.8200000000002</v>
      </c>
      <c r="O407" t="s">
        <v>36</v>
      </c>
      <c r="P407" s="2" t="s">
        <v>43</v>
      </c>
      <c r="Q407" s="2" t="s">
        <v>31</v>
      </c>
    </row>
    <row r="408" spans="1:17" x14ac:dyDescent="0.3">
      <c r="A408">
        <v>202401091</v>
      </c>
      <c r="B408" s="1">
        <v>45308</v>
      </c>
      <c r="C408">
        <v>2024</v>
      </c>
      <c r="D408">
        <v>1</v>
      </c>
      <c r="E408">
        <v>1</v>
      </c>
      <c r="F408">
        <v>15</v>
      </c>
      <c r="G408" s="2" t="s">
        <v>115</v>
      </c>
      <c r="H408" s="2" t="s">
        <v>140</v>
      </c>
      <c r="I408" s="2" t="s">
        <v>19</v>
      </c>
      <c r="J408" s="2" t="s">
        <v>20</v>
      </c>
      <c r="K408" s="2" t="s">
        <v>71</v>
      </c>
      <c r="L408">
        <v>8</v>
      </c>
      <c r="M408">
        <v>540.65</v>
      </c>
      <c r="N408">
        <v>4325.2</v>
      </c>
      <c r="O408" t="s">
        <v>29</v>
      </c>
      <c r="P408" s="2" t="s">
        <v>23</v>
      </c>
      <c r="Q408" s="2" t="s">
        <v>24</v>
      </c>
    </row>
    <row r="409" spans="1:17" hidden="1" x14ac:dyDescent="0.3">
      <c r="A409">
        <v>202400183</v>
      </c>
      <c r="B409" s="1">
        <v>45604</v>
      </c>
      <c r="C409">
        <v>2024</v>
      </c>
      <c r="D409">
        <v>4</v>
      </c>
      <c r="E409">
        <v>11</v>
      </c>
      <c r="F409">
        <v>47</v>
      </c>
      <c r="G409" s="2" t="s">
        <v>120</v>
      </c>
      <c r="H409" s="2" t="s">
        <v>140</v>
      </c>
      <c r="I409" s="2" t="s">
        <v>38</v>
      </c>
      <c r="J409" s="2" t="s">
        <v>20</v>
      </c>
      <c r="K409" s="2" t="s">
        <v>42</v>
      </c>
      <c r="L409">
        <v>7</v>
      </c>
      <c r="M409">
        <v>133.97</v>
      </c>
      <c r="N409">
        <v>937.79</v>
      </c>
      <c r="O409" t="s">
        <v>29</v>
      </c>
      <c r="P409" s="2" t="s">
        <v>43</v>
      </c>
      <c r="Q409" s="2" t="s">
        <v>40</v>
      </c>
    </row>
    <row r="410" spans="1:17" x14ac:dyDescent="0.3">
      <c r="A410">
        <v>202401085</v>
      </c>
      <c r="B410" s="1">
        <v>45325</v>
      </c>
      <c r="C410">
        <v>2024</v>
      </c>
      <c r="D410">
        <v>1</v>
      </c>
      <c r="E410">
        <v>2</v>
      </c>
      <c r="F410">
        <v>61</v>
      </c>
      <c r="G410" s="2" t="s">
        <v>90</v>
      </c>
      <c r="H410" s="2" t="s">
        <v>69</v>
      </c>
      <c r="I410" s="2" t="s">
        <v>65</v>
      </c>
      <c r="J410" s="2" t="s">
        <v>34</v>
      </c>
      <c r="K410" s="2" t="s">
        <v>71</v>
      </c>
      <c r="L410">
        <v>4</v>
      </c>
      <c r="M410">
        <v>69.430000000000007</v>
      </c>
      <c r="N410">
        <v>277.72000000000003</v>
      </c>
      <c r="O410" t="s">
        <v>29</v>
      </c>
      <c r="P410" s="2" t="s">
        <v>30</v>
      </c>
      <c r="Q410" s="2" t="s">
        <v>24</v>
      </c>
    </row>
    <row r="411" spans="1:17" hidden="1" x14ac:dyDescent="0.3">
      <c r="A411">
        <v>202400459</v>
      </c>
      <c r="B411" s="1">
        <v>45580</v>
      </c>
      <c r="C411">
        <v>2024</v>
      </c>
      <c r="D411">
        <v>4</v>
      </c>
      <c r="E411">
        <v>10</v>
      </c>
      <c r="F411">
        <v>80</v>
      </c>
      <c r="G411" s="2" t="s">
        <v>76</v>
      </c>
      <c r="H411" s="2" t="s">
        <v>26</v>
      </c>
      <c r="I411" s="2" t="s">
        <v>54</v>
      </c>
      <c r="J411" s="2" t="s">
        <v>20</v>
      </c>
      <c r="K411" s="2" t="s">
        <v>42</v>
      </c>
      <c r="L411">
        <v>5</v>
      </c>
      <c r="M411">
        <v>815.71</v>
      </c>
      <c r="N411">
        <v>4078.55</v>
      </c>
      <c r="O411" t="s">
        <v>29</v>
      </c>
      <c r="P411" s="2" t="s">
        <v>30</v>
      </c>
      <c r="Q411" s="2" t="s">
        <v>24</v>
      </c>
    </row>
    <row r="412" spans="1:17" hidden="1" x14ac:dyDescent="0.3">
      <c r="A412">
        <v>202400111</v>
      </c>
      <c r="B412" s="1">
        <v>45533</v>
      </c>
      <c r="C412">
        <v>2024</v>
      </c>
      <c r="D412">
        <v>3</v>
      </c>
      <c r="E412">
        <v>8</v>
      </c>
      <c r="F412">
        <v>25</v>
      </c>
      <c r="G412" s="2" t="s">
        <v>117</v>
      </c>
      <c r="H412" s="2" t="s">
        <v>26</v>
      </c>
      <c r="I412" s="2" t="s">
        <v>27</v>
      </c>
      <c r="J412" s="2" t="s">
        <v>20</v>
      </c>
      <c r="K412" s="2" t="s">
        <v>97</v>
      </c>
      <c r="L412">
        <v>14</v>
      </c>
      <c r="M412">
        <v>30.98</v>
      </c>
      <c r="N412">
        <v>433.72</v>
      </c>
      <c r="O412" t="s">
        <v>22</v>
      </c>
      <c r="P412" s="2" t="s">
        <v>43</v>
      </c>
      <c r="Q412" s="2" t="s">
        <v>41</v>
      </c>
    </row>
    <row r="413" spans="1:17" hidden="1" x14ac:dyDescent="0.3">
      <c r="A413">
        <v>202400371</v>
      </c>
      <c r="B413" s="1">
        <v>45399</v>
      </c>
      <c r="C413">
        <v>2024</v>
      </c>
      <c r="D413">
        <v>2</v>
      </c>
      <c r="E413">
        <v>4</v>
      </c>
      <c r="F413">
        <v>46</v>
      </c>
      <c r="G413" s="2" t="s">
        <v>88</v>
      </c>
      <c r="H413" s="2" t="s">
        <v>26</v>
      </c>
      <c r="I413" s="2" t="s">
        <v>85</v>
      </c>
      <c r="J413" s="2" t="s">
        <v>57</v>
      </c>
      <c r="K413" s="2" t="s">
        <v>50</v>
      </c>
      <c r="L413">
        <v>6</v>
      </c>
      <c r="M413">
        <v>1816.6</v>
      </c>
      <c r="N413">
        <v>10899.599999999999</v>
      </c>
      <c r="O413" t="s">
        <v>29</v>
      </c>
      <c r="P413" s="2" t="s">
        <v>48</v>
      </c>
      <c r="Q413" s="2" t="s">
        <v>24</v>
      </c>
    </row>
    <row r="414" spans="1:17" x14ac:dyDescent="0.3">
      <c r="A414">
        <v>202400240</v>
      </c>
      <c r="B414" s="1">
        <v>45361</v>
      </c>
      <c r="C414">
        <v>2024</v>
      </c>
      <c r="D414">
        <v>1</v>
      </c>
      <c r="E414">
        <v>3</v>
      </c>
      <c r="F414">
        <v>9</v>
      </c>
      <c r="G414" s="2" t="s">
        <v>44</v>
      </c>
      <c r="H414" s="2" t="s">
        <v>62</v>
      </c>
      <c r="I414" s="2" t="s">
        <v>78</v>
      </c>
      <c r="J414" s="2" t="s">
        <v>75</v>
      </c>
      <c r="K414" s="2" t="s">
        <v>39</v>
      </c>
      <c r="L414">
        <v>8</v>
      </c>
      <c r="M414">
        <v>1954.23</v>
      </c>
      <c r="N414">
        <v>15633.84</v>
      </c>
      <c r="O414" t="s">
        <v>29</v>
      </c>
      <c r="P414" s="2" t="s">
        <v>48</v>
      </c>
      <c r="Q414" s="2" t="s">
        <v>24</v>
      </c>
    </row>
    <row r="415" spans="1:17" hidden="1" x14ac:dyDescent="0.3">
      <c r="A415">
        <v>202401106</v>
      </c>
      <c r="B415" s="1">
        <v>45440</v>
      </c>
      <c r="C415">
        <v>2024</v>
      </c>
      <c r="D415">
        <v>2</v>
      </c>
      <c r="E415">
        <v>5</v>
      </c>
      <c r="F415">
        <v>58</v>
      </c>
      <c r="G415" s="2" t="s">
        <v>68</v>
      </c>
      <c r="H415" s="2" t="s">
        <v>69</v>
      </c>
      <c r="I415" s="2" t="s">
        <v>85</v>
      </c>
      <c r="J415" s="2" t="s">
        <v>57</v>
      </c>
      <c r="K415" s="2" t="s">
        <v>28</v>
      </c>
      <c r="L415">
        <v>5</v>
      </c>
      <c r="M415">
        <v>1675.66</v>
      </c>
      <c r="N415">
        <v>8378.3000000000011</v>
      </c>
      <c r="O415" t="s">
        <v>29</v>
      </c>
      <c r="P415" s="2" t="s">
        <v>43</v>
      </c>
      <c r="Q415" s="2" t="s">
        <v>24</v>
      </c>
    </row>
    <row r="416" spans="1:17" hidden="1" x14ac:dyDescent="0.3">
      <c r="A416">
        <v>202401139</v>
      </c>
      <c r="B416" s="1">
        <v>45567</v>
      </c>
      <c r="C416">
        <v>2024</v>
      </c>
      <c r="D416">
        <v>4</v>
      </c>
      <c r="E416">
        <v>10</v>
      </c>
      <c r="F416">
        <v>25</v>
      </c>
      <c r="G416" s="2" t="s">
        <v>117</v>
      </c>
      <c r="H416" s="2" t="s">
        <v>26</v>
      </c>
      <c r="I416" s="2" t="s">
        <v>27</v>
      </c>
      <c r="J416" s="2" t="s">
        <v>20</v>
      </c>
      <c r="K416" s="2" t="s">
        <v>97</v>
      </c>
      <c r="L416">
        <v>3</v>
      </c>
      <c r="M416">
        <v>674.55</v>
      </c>
      <c r="N416">
        <v>2023.6499999999999</v>
      </c>
      <c r="O416" t="s">
        <v>29</v>
      </c>
      <c r="P416" s="2" t="s">
        <v>48</v>
      </c>
      <c r="Q416" s="2" t="s">
        <v>24</v>
      </c>
    </row>
    <row r="417" spans="1:17" x14ac:dyDescent="0.3">
      <c r="A417">
        <v>202400931</v>
      </c>
      <c r="B417" s="1">
        <v>45338</v>
      </c>
      <c r="C417">
        <v>2024</v>
      </c>
      <c r="D417">
        <v>1</v>
      </c>
      <c r="E417">
        <v>2</v>
      </c>
      <c r="F417">
        <v>43</v>
      </c>
      <c r="G417" s="2" t="s">
        <v>100</v>
      </c>
      <c r="H417" s="2" t="s">
        <v>69</v>
      </c>
      <c r="I417" s="2" t="s">
        <v>54</v>
      </c>
      <c r="J417" s="2" t="s">
        <v>20</v>
      </c>
      <c r="K417" s="2" t="s">
        <v>47</v>
      </c>
      <c r="L417">
        <v>6</v>
      </c>
      <c r="M417">
        <v>1207.68</v>
      </c>
      <c r="N417">
        <v>7246.08</v>
      </c>
      <c r="O417" t="s">
        <v>29</v>
      </c>
      <c r="P417" s="2" t="s">
        <v>30</v>
      </c>
      <c r="Q417" s="2" t="s">
        <v>24</v>
      </c>
    </row>
    <row r="418" spans="1:17" x14ac:dyDescent="0.3">
      <c r="A418">
        <v>202400205</v>
      </c>
      <c r="B418" s="1">
        <v>45346</v>
      </c>
      <c r="C418">
        <v>2024</v>
      </c>
      <c r="D418">
        <v>1</v>
      </c>
      <c r="E418">
        <v>2</v>
      </c>
      <c r="F418">
        <v>79</v>
      </c>
      <c r="G418" s="2" t="s">
        <v>108</v>
      </c>
      <c r="H418" s="2" t="s">
        <v>69</v>
      </c>
      <c r="I418" s="2" t="s">
        <v>85</v>
      </c>
      <c r="J418" s="2" t="s">
        <v>57</v>
      </c>
      <c r="K418" s="2" t="s">
        <v>50</v>
      </c>
      <c r="L418">
        <v>12</v>
      </c>
      <c r="M418">
        <v>267.95</v>
      </c>
      <c r="N418">
        <v>3215.3999999999996</v>
      </c>
      <c r="O418" t="s">
        <v>22</v>
      </c>
      <c r="P418" s="2" t="s">
        <v>43</v>
      </c>
      <c r="Q418" s="2" t="s">
        <v>45</v>
      </c>
    </row>
    <row r="419" spans="1:17" hidden="1" x14ac:dyDescent="0.3">
      <c r="A419">
        <v>202400824</v>
      </c>
      <c r="B419" s="1">
        <v>45514</v>
      </c>
      <c r="C419">
        <v>2024</v>
      </c>
      <c r="D419">
        <v>3</v>
      </c>
      <c r="E419">
        <v>8</v>
      </c>
      <c r="F419">
        <v>21</v>
      </c>
      <c r="G419" s="2" t="s">
        <v>53</v>
      </c>
      <c r="H419" s="2" t="s">
        <v>26</v>
      </c>
      <c r="I419" s="2" t="s">
        <v>78</v>
      </c>
      <c r="J419" s="2" t="s">
        <v>75</v>
      </c>
      <c r="K419" s="2" t="s">
        <v>70</v>
      </c>
      <c r="L419">
        <v>12</v>
      </c>
      <c r="M419">
        <v>1362.86</v>
      </c>
      <c r="N419">
        <v>16354.32</v>
      </c>
      <c r="O419" t="s">
        <v>22</v>
      </c>
      <c r="P419" s="2" t="s">
        <v>43</v>
      </c>
      <c r="Q419" s="2" t="s">
        <v>40</v>
      </c>
    </row>
    <row r="420" spans="1:17" hidden="1" x14ac:dyDescent="0.3">
      <c r="A420">
        <v>202400262</v>
      </c>
      <c r="B420" s="1">
        <v>45463</v>
      </c>
      <c r="C420">
        <v>2024</v>
      </c>
      <c r="D420">
        <v>2</v>
      </c>
      <c r="E420">
        <v>6</v>
      </c>
      <c r="F420">
        <v>69</v>
      </c>
      <c r="G420" s="2" t="s">
        <v>98</v>
      </c>
      <c r="H420" s="2" t="s">
        <v>62</v>
      </c>
      <c r="I420" s="2" t="s">
        <v>67</v>
      </c>
      <c r="J420" s="2" t="s">
        <v>20</v>
      </c>
      <c r="K420" s="2" t="s">
        <v>28</v>
      </c>
      <c r="L420">
        <v>9</v>
      </c>
      <c r="M420">
        <v>1991.61</v>
      </c>
      <c r="N420">
        <v>17924.489999999998</v>
      </c>
      <c r="O420" t="s">
        <v>29</v>
      </c>
      <c r="P420" s="2" t="s">
        <v>48</v>
      </c>
      <c r="Q420" s="2" t="s">
        <v>41</v>
      </c>
    </row>
    <row r="421" spans="1:17" hidden="1" x14ac:dyDescent="0.3">
      <c r="A421">
        <v>202400595</v>
      </c>
      <c r="B421" s="1">
        <v>45621</v>
      </c>
      <c r="C421">
        <v>2024</v>
      </c>
      <c r="D421">
        <v>4</v>
      </c>
      <c r="E421">
        <v>11</v>
      </c>
      <c r="F421">
        <v>50</v>
      </c>
      <c r="G421" s="2" t="s">
        <v>37</v>
      </c>
      <c r="H421" s="2" t="s">
        <v>62</v>
      </c>
      <c r="I421" s="2" t="s">
        <v>38</v>
      </c>
      <c r="J421" s="2" t="s">
        <v>20</v>
      </c>
      <c r="K421" s="2" t="s">
        <v>71</v>
      </c>
      <c r="L421">
        <v>6</v>
      </c>
      <c r="M421">
        <v>1537.54</v>
      </c>
      <c r="N421">
        <v>9225.24</v>
      </c>
      <c r="O421" t="s">
        <v>29</v>
      </c>
      <c r="P421" s="2" t="s">
        <v>43</v>
      </c>
      <c r="Q421" s="2" t="s">
        <v>24</v>
      </c>
    </row>
    <row r="422" spans="1:17" hidden="1" x14ac:dyDescent="0.3">
      <c r="A422">
        <v>202400666</v>
      </c>
      <c r="B422" s="1">
        <v>45653</v>
      </c>
      <c r="C422">
        <v>2024</v>
      </c>
      <c r="D422">
        <v>4</v>
      </c>
      <c r="E422">
        <v>12</v>
      </c>
      <c r="F422">
        <v>33</v>
      </c>
      <c r="G422" s="2" t="s">
        <v>133</v>
      </c>
      <c r="H422" s="2" t="s">
        <v>140</v>
      </c>
      <c r="I422" s="2" t="s">
        <v>33</v>
      </c>
      <c r="J422" s="2" t="s">
        <v>34</v>
      </c>
      <c r="K422" s="2" t="s">
        <v>59</v>
      </c>
      <c r="L422">
        <v>3</v>
      </c>
      <c r="M422">
        <v>571.99</v>
      </c>
      <c r="N422">
        <v>1715.97</v>
      </c>
      <c r="O422" t="s">
        <v>29</v>
      </c>
      <c r="P422" s="2" t="s">
        <v>43</v>
      </c>
      <c r="Q422" s="2" t="s">
        <v>24</v>
      </c>
    </row>
    <row r="423" spans="1:17" x14ac:dyDescent="0.3">
      <c r="A423">
        <v>202400340</v>
      </c>
      <c r="B423" s="1">
        <v>45306</v>
      </c>
      <c r="C423">
        <v>2024</v>
      </c>
      <c r="D423">
        <v>1</v>
      </c>
      <c r="E423">
        <v>1</v>
      </c>
      <c r="F423">
        <v>62</v>
      </c>
      <c r="G423" s="2" t="s">
        <v>118</v>
      </c>
      <c r="H423" s="2" t="s">
        <v>18</v>
      </c>
      <c r="I423" s="2" t="s">
        <v>54</v>
      </c>
      <c r="J423" s="2" t="s">
        <v>20</v>
      </c>
      <c r="K423" s="2" t="s">
        <v>21</v>
      </c>
      <c r="L423">
        <v>4</v>
      </c>
      <c r="M423">
        <v>880.81</v>
      </c>
      <c r="N423">
        <v>3523.24</v>
      </c>
      <c r="O423" t="s">
        <v>29</v>
      </c>
      <c r="P423" s="2" t="s">
        <v>43</v>
      </c>
      <c r="Q423" s="2" t="s">
        <v>40</v>
      </c>
    </row>
    <row r="424" spans="1:17" hidden="1" x14ac:dyDescent="0.3">
      <c r="A424">
        <v>202400856</v>
      </c>
      <c r="B424" s="1">
        <v>45425</v>
      </c>
      <c r="C424">
        <v>2024</v>
      </c>
      <c r="D424">
        <v>2</v>
      </c>
      <c r="E424">
        <v>5</v>
      </c>
      <c r="F424">
        <v>35</v>
      </c>
      <c r="G424" s="2" t="s">
        <v>99</v>
      </c>
      <c r="H424" s="2" t="s">
        <v>140</v>
      </c>
      <c r="I424" s="2" t="s">
        <v>27</v>
      </c>
      <c r="J424" s="2" t="s">
        <v>20</v>
      </c>
      <c r="K424" s="2" t="s">
        <v>70</v>
      </c>
      <c r="L424">
        <v>11</v>
      </c>
      <c r="M424">
        <v>1210.8800000000001</v>
      </c>
      <c r="N424">
        <v>13319.68</v>
      </c>
      <c r="O424" t="s">
        <v>22</v>
      </c>
      <c r="P424" s="2" t="s">
        <v>48</v>
      </c>
      <c r="Q424" s="2" t="s">
        <v>41</v>
      </c>
    </row>
    <row r="425" spans="1:17" hidden="1" x14ac:dyDescent="0.3">
      <c r="A425">
        <v>202400845</v>
      </c>
      <c r="B425" s="1">
        <v>45479</v>
      </c>
      <c r="C425">
        <v>2024</v>
      </c>
      <c r="D425">
        <v>3</v>
      </c>
      <c r="E425">
        <v>7</v>
      </c>
      <c r="F425">
        <v>15</v>
      </c>
      <c r="G425" s="2" t="s">
        <v>115</v>
      </c>
      <c r="H425" s="2" t="s">
        <v>140</v>
      </c>
      <c r="I425" s="2" t="s">
        <v>19</v>
      </c>
      <c r="J425" s="2" t="s">
        <v>20</v>
      </c>
      <c r="K425" s="2" t="s">
        <v>52</v>
      </c>
      <c r="L425">
        <v>3</v>
      </c>
      <c r="M425">
        <v>1556.36</v>
      </c>
      <c r="N425">
        <v>4669.08</v>
      </c>
      <c r="O425" t="s">
        <v>29</v>
      </c>
      <c r="P425" s="2" t="s">
        <v>48</v>
      </c>
      <c r="Q425" s="2" t="s">
        <v>24</v>
      </c>
    </row>
    <row r="426" spans="1:17" hidden="1" x14ac:dyDescent="0.3">
      <c r="A426">
        <v>202400486</v>
      </c>
      <c r="B426" s="1">
        <v>45584</v>
      </c>
      <c r="C426">
        <v>2024</v>
      </c>
      <c r="D426">
        <v>4</v>
      </c>
      <c r="E426">
        <v>10</v>
      </c>
      <c r="F426">
        <v>8</v>
      </c>
      <c r="G426" s="2" t="s">
        <v>63</v>
      </c>
      <c r="H426" s="2" t="s">
        <v>26</v>
      </c>
      <c r="I426" s="2" t="s">
        <v>54</v>
      </c>
      <c r="J426" s="2" t="s">
        <v>20</v>
      </c>
      <c r="K426" s="2" t="s">
        <v>50</v>
      </c>
      <c r="L426">
        <v>4</v>
      </c>
      <c r="M426">
        <v>1329.44</v>
      </c>
      <c r="N426">
        <v>5317.76</v>
      </c>
      <c r="O426" t="s">
        <v>29</v>
      </c>
      <c r="P426" s="2" t="s">
        <v>43</v>
      </c>
      <c r="Q426" s="2" t="s">
        <v>31</v>
      </c>
    </row>
    <row r="427" spans="1:17" hidden="1" x14ac:dyDescent="0.3">
      <c r="A427">
        <v>202400184</v>
      </c>
      <c r="B427" s="1">
        <v>45460</v>
      </c>
      <c r="C427">
        <v>2024</v>
      </c>
      <c r="D427">
        <v>2</v>
      </c>
      <c r="E427">
        <v>6</v>
      </c>
      <c r="F427">
        <v>49</v>
      </c>
      <c r="G427" s="2" t="s">
        <v>83</v>
      </c>
      <c r="H427" s="2" t="s">
        <v>69</v>
      </c>
      <c r="I427" s="2" t="s">
        <v>56</v>
      </c>
      <c r="J427" s="2" t="s">
        <v>57</v>
      </c>
      <c r="K427" s="2" t="s">
        <v>42</v>
      </c>
      <c r="L427">
        <v>3</v>
      </c>
      <c r="M427">
        <v>1282.9000000000001</v>
      </c>
      <c r="N427">
        <v>3848.7000000000003</v>
      </c>
      <c r="O427" t="s">
        <v>29</v>
      </c>
      <c r="P427" s="2" t="s">
        <v>43</v>
      </c>
      <c r="Q427" s="2" t="s">
        <v>45</v>
      </c>
    </row>
    <row r="428" spans="1:17" hidden="1" x14ac:dyDescent="0.3">
      <c r="A428">
        <v>202400138</v>
      </c>
      <c r="B428" s="1">
        <v>45432</v>
      </c>
      <c r="C428">
        <v>2024</v>
      </c>
      <c r="D428">
        <v>2</v>
      </c>
      <c r="E428">
        <v>5</v>
      </c>
      <c r="F428">
        <v>36</v>
      </c>
      <c r="G428" s="2" t="s">
        <v>123</v>
      </c>
      <c r="H428" s="2" t="s">
        <v>62</v>
      </c>
      <c r="I428" s="2" t="s">
        <v>54</v>
      </c>
      <c r="J428" s="2" t="s">
        <v>20</v>
      </c>
      <c r="K428" s="2" t="s">
        <v>39</v>
      </c>
      <c r="L428">
        <v>1</v>
      </c>
      <c r="M428">
        <v>1176.07</v>
      </c>
      <c r="N428">
        <v>1176.07</v>
      </c>
      <c r="O428" t="s">
        <v>36</v>
      </c>
      <c r="P428" s="2" t="s">
        <v>43</v>
      </c>
      <c r="Q428" s="2" t="s">
        <v>24</v>
      </c>
    </row>
    <row r="429" spans="1:17" x14ac:dyDescent="0.3">
      <c r="A429">
        <v>202401172</v>
      </c>
      <c r="B429" s="1">
        <v>45360</v>
      </c>
      <c r="C429">
        <v>2024</v>
      </c>
      <c r="D429">
        <v>1</v>
      </c>
      <c r="E429">
        <v>3</v>
      </c>
      <c r="F429">
        <v>57</v>
      </c>
      <c r="G429" s="2" t="s">
        <v>53</v>
      </c>
      <c r="H429" s="2" t="s">
        <v>18</v>
      </c>
      <c r="I429" s="2" t="s">
        <v>54</v>
      </c>
      <c r="J429" s="2" t="s">
        <v>20</v>
      </c>
      <c r="K429" s="2" t="s">
        <v>21</v>
      </c>
      <c r="L429">
        <v>4</v>
      </c>
      <c r="M429">
        <v>307.39</v>
      </c>
      <c r="N429">
        <v>1229.56</v>
      </c>
      <c r="O429" t="s">
        <v>29</v>
      </c>
      <c r="P429" s="2" t="s">
        <v>43</v>
      </c>
      <c r="Q429" s="2" t="s">
        <v>40</v>
      </c>
    </row>
    <row r="430" spans="1:17" hidden="1" x14ac:dyDescent="0.3">
      <c r="A430">
        <v>202400724</v>
      </c>
      <c r="B430" s="1">
        <v>45456</v>
      </c>
      <c r="C430">
        <v>2024</v>
      </c>
      <c r="D430">
        <v>2</v>
      </c>
      <c r="E430">
        <v>6</v>
      </c>
      <c r="F430">
        <v>76</v>
      </c>
      <c r="G430" s="2" t="s">
        <v>104</v>
      </c>
      <c r="H430" s="2" t="s">
        <v>140</v>
      </c>
      <c r="I430" s="2" t="s">
        <v>33</v>
      </c>
      <c r="J430" s="2" t="s">
        <v>34</v>
      </c>
      <c r="K430" s="2" t="s">
        <v>70</v>
      </c>
      <c r="L430">
        <v>7</v>
      </c>
      <c r="M430">
        <v>117.97</v>
      </c>
      <c r="N430">
        <v>825.79</v>
      </c>
      <c r="O430" t="s">
        <v>29</v>
      </c>
      <c r="P430" s="2" t="s">
        <v>43</v>
      </c>
      <c r="Q430" s="2" t="s">
        <v>41</v>
      </c>
    </row>
    <row r="431" spans="1:17" hidden="1" x14ac:dyDescent="0.3">
      <c r="A431">
        <v>202401069</v>
      </c>
      <c r="B431" s="1">
        <v>45646</v>
      </c>
      <c r="C431">
        <v>2024</v>
      </c>
      <c r="D431">
        <v>4</v>
      </c>
      <c r="E431">
        <v>12</v>
      </c>
      <c r="F431">
        <v>64</v>
      </c>
      <c r="G431" s="2" t="s">
        <v>106</v>
      </c>
      <c r="H431" s="2" t="s">
        <v>26</v>
      </c>
      <c r="I431" s="2" t="s">
        <v>27</v>
      </c>
      <c r="J431" s="2" t="s">
        <v>20</v>
      </c>
      <c r="K431" s="2" t="s">
        <v>47</v>
      </c>
      <c r="L431">
        <v>14</v>
      </c>
      <c r="M431">
        <v>295.3</v>
      </c>
      <c r="N431">
        <v>4134.2</v>
      </c>
      <c r="O431" t="s">
        <v>22</v>
      </c>
      <c r="P431" s="2" t="s">
        <v>30</v>
      </c>
      <c r="Q431" s="2" t="s">
        <v>24</v>
      </c>
    </row>
    <row r="432" spans="1:17" x14ac:dyDescent="0.3">
      <c r="A432">
        <v>202400081</v>
      </c>
      <c r="B432" s="1">
        <v>45343</v>
      </c>
      <c r="C432">
        <v>2024</v>
      </c>
      <c r="D432">
        <v>1</v>
      </c>
      <c r="E432">
        <v>2</v>
      </c>
      <c r="F432">
        <v>52</v>
      </c>
      <c r="G432" s="2" t="s">
        <v>105</v>
      </c>
      <c r="H432" s="2" t="s">
        <v>62</v>
      </c>
      <c r="I432" s="2" t="s">
        <v>78</v>
      </c>
      <c r="J432" s="2" t="s">
        <v>75</v>
      </c>
      <c r="K432" s="2" t="s">
        <v>42</v>
      </c>
      <c r="L432">
        <v>12</v>
      </c>
      <c r="M432">
        <v>950.17</v>
      </c>
      <c r="N432">
        <v>11402.039999999999</v>
      </c>
      <c r="O432" t="s">
        <v>22</v>
      </c>
      <c r="P432" s="2" t="s">
        <v>48</v>
      </c>
      <c r="Q432" s="2" t="s">
        <v>31</v>
      </c>
    </row>
    <row r="433" spans="1:17" hidden="1" x14ac:dyDescent="0.3">
      <c r="A433">
        <v>202400514</v>
      </c>
      <c r="B433" s="1">
        <v>45425</v>
      </c>
      <c r="C433">
        <v>2024</v>
      </c>
      <c r="D433">
        <v>2</v>
      </c>
      <c r="E433">
        <v>5</v>
      </c>
      <c r="F433">
        <v>51</v>
      </c>
      <c r="G433" s="2" t="s">
        <v>132</v>
      </c>
      <c r="H433" s="2" t="s">
        <v>62</v>
      </c>
      <c r="I433" s="2" t="s">
        <v>78</v>
      </c>
      <c r="J433" s="2" t="s">
        <v>75</v>
      </c>
      <c r="K433" s="2" t="s">
        <v>47</v>
      </c>
      <c r="L433">
        <v>14</v>
      </c>
      <c r="M433">
        <v>940.32</v>
      </c>
      <c r="N433">
        <v>13164.480000000001</v>
      </c>
      <c r="O433" t="s">
        <v>22</v>
      </c>
      <c r="P433" s="2" t="s">
        <v>30</v>
      </c>
      <c r="Q433" s="2" t="s">
        <v>24</v>
      </c>
    </row>
    <row r="434" spans="1:17" hidden="1" x14ac:dyDescent="0.3">
      <c r="A434">
        <v>202401098</v>
      </c>
      <c r="B434" s="1">
        <v>45634</v>
      </c>
      <c r="C434">
        <v>2024</v>
      </c>
      <c r="D434">
        <v>4</v>
      </c>
      <c r="E434">
        <v>12</v>
      </c>
      <c r="F434">
        <v>28</v>
      </c>
      <c r="G434" s="2" t="s">
        <v>114</v>
      </c>
      <c r="H434" s="2" t="s">
        <v>62</v>
      </c>
      <c r="I434" s="2" t="s">
        <v>33</v>
      </c>
      <c r="J434" s="2" t="s">
        <v>34</v>
      </c>
      <c r="K434" s="2" t="s">
        <v>97</v>
      </c>
      <c r="L434">
        <v>11</v>
      </c>
      <c r="M434">
        <v>1011.41</v>
      </c>
      <c r="N434">
        <v>11125.51</v>
      </c>
      <c r="O434" t="s">
        <v>22</v>
      </c>
      <c r="P434" s="2" t="s">
        <v>43</v>
      </c>
      <c r="Q434" s="2" t="s">
        <v>31</v>
      </c>
    </row>
    <row r="435" spans="1:17" x14ac:dyDescent="0.3">
      <c r="A435">
        <v>202400779</v>
      </c>
      <c r="B435" s="1">
        <v>45304</v>
      </c>
      <c r="C435">
        <v>2024</v>
      </c>
      <c r="D435">
        <v>1</v>
      </c>
      <c r="E435">
        <v>1</v>
      </c>
      <c r="F435">
        <v>8</v>
      </c>
      <c r="G435" s="2" t="s">
        <v>63</v>
      </c>
      <c r="H435" s="2" t="s">
        <v>26</v>
      </c>
      <c r="I435" s="2" t="s">
        <v>54</v>
      </c>
      <c r="J435" s="2" t="s">
        <v>20</v>
      </c>
      <c r="K435" s="2" t="s">
        <v>71</v>
      </c>
      <c r="L435">
        <v>6</v>
      </c>
      <c r="M435">
        <v>1536.79</v>
      </c>
      <c r="N435">
        <v>9220.74</v>
      </c>
      <c r="O435" t="s">
        <v>29</v>
      </c>
      <c r="P435" s="2" t="s">
        <v>43</v>
      </c>
      <c r="Q435" s="2" t="s">
        <v>24</v>
      </c>
    </row>
    <row r="436" spans="1:17" hidden="1" x14ac:dyDescent="0.3">
      <c r="A436">
        <v>202400030</v>
      </c>
      <c r="B436" s="1">
        <v>45596</v>
      </c>
      <c r="C436">
        <v>2024</v>
      </c>
      <c r="D436">
        <v>4</v>
      </c>
      <c r="E436">
        <v>10</v>
      </c>
      <c r="F436">
        <v>34</v>
      </c>
      <c r="G436" s="2" t="s">
        <v>95</v>
      </c>
      <c r="H436" s="2" t="s">
        <v>18</v>
      </c>
      <c r="I436" s="2" t="s">
        <v>54</v>
      </c>
      <c r="J436" s="2" t="s">
        <v>20</v>
      </c>
      <c r="K436" s="2" t="s">
        <v>97</v>
      </c>
      <c r="L436">
        <v>5</v>
      </c>
      <c r="M436">
        <v>376.92</v>
      </c>
      <c r="N436">
        <v>1884.6000000000001</v>
      </c>
      <c r="O436" t="s">
        <v>29</v>
      </c>
      <c r="P436" s="2" t="s">
        <v>43</v>
      </c>
      <c r="Q436" s="2" t="s">
        <v>24</v>
      </c>
    </row>
    <row r="437" spans="1:17" x14ac:dyDescent="0.3">
      <c r="A437">
        <v>202401094</v>
      </c>
      <c r="B437" s="1">
        <v>45358</v>
      </c>
      <c r="C437">
        <v>2024</v>
      </c>
      <c r="D437">
        <v>1</v>
      </c>
      <c r="E437">
        <v>3</v>
      </c>
      <c r="F437">
        <v>48</v>
      </c>
      <c r="G437" s="2" t="s">
        <v>82</v>
      </c>
      <c r="H437" s="2" t="s">
        <v>140</v>
      </c>
      <c r="I437" s="2" t="s">
        <v>78</v>
      </c>
      <c r="J437" s="2" t="s">
        <v>75</v>
      </c>
      <c r="K437" s="2" t="s">
        <v>97</v>
      </c>
      <c r="L437">
        <v>3</v>
      </c>
      <c r="M437">
        <v>619.70000000000005</v>
      </c>
      <c r="N437">
        <v>1859.1000000000001</v>
      </c>
      <c r="O437" t="s">
        <v>29</v>
      </c>
      <c r="P437" s="2" t="s">
        <v>48</v>
      </c>
      <c r="Q437" s="2" t="s">
        <v>31</v>
      </c>
    </row>
    <row r="438" spans="1:17" hidden="1" x14ac:dyDescent="0.3">
      <c r="A438">
        <v>202400166</v>
      </c>
      <c r="B438" s="1">
        <v>45638</v>
      </c>
      <c r="C438">
        <v>2024</v>
      </c>
      <c r="D438">
        <v>4</v>
      </c>
      <c r="E438">
        <v>12</v>
      </c>
      <c r="F438">
        <v>49</v>
      </c>
      <c r="G438" s="2" t="s">
        <v>83</v>
      </c>
      <c r="H438" s="2" t="s">
        <v>69</v>
      </c>
      <c r="I438" s="2" t="s">
        <v>56</v>
      </c>
      <c r="J438" s="2" t="s">
        <v>57</v>
      </c>
      <c r="K438" s="2" t="s">
        <v>51</v>
      </c>
      <c r="L438">
        <v>2</v>
      </c>
      <c r="M438">
        <v>1955.7</v>
      </c>
      <c r="N438">
        <v>3911.4</v>
      </c>
      <c r="O438" t="s">
        <v>36</v>
      </c>
      <c r="P438" s="2" t="s">
        <v>30</v>
      </c>
      <c r="Q438" s="2" t="s">
        <v>40</v>
      </c>
    </row>
    <row r="439" spans="1:17" x14ac:dyDescent="0.3">
      <c r="A439">
        <v>202400249</v>
      </c>
      <c r="B439" s="1">
        <v>45379</v>
      </c>
      <c r="C439">
        <v>2024</v>
      </c>
      <c r="D439">
        <v>1</v>
      </c>
      <c r="E439">
        <v>3</v>
      </c>
      <c r="F439">
        <v>25</v>
      </c>
      <c r="G439" s="2" t="s">
        <v>117</v>
      </c>
      <c r="H439" s="2" t="s">
        <v>26</v>
      </c>
      <c r="I439" s="2" t="s">
        <v>27</v>
      </c>
      <c r="J439" s="2" t="s">
        <v>20</v>
      </c>
      <c r="K439" s="2" t="s">
        <v>47</v>
      </c>
      <c r="L439">
        <v>2</v>
      </c>
      <c r="M439">
        <v>1304.45</v>
      </c>
      <c r="N439">
        <v>2608.9</v>
      </c>
      <c r="O439" t="s">
        <v>36</v>
      </c>
      <c r="P439" s="2" t="s">
        <v>30</v>
      </c>
      <c r="Q439" s="2" t="s">
        <v>24</v>
      </c>
    </row>
    <row r="440" spans="1:17" hidden="1" x14ac:dyDescent="0.3">
      <c r="A440">
        <v>202400308</v>
      </c>
      <c r="B440" s="1">
        <v>45532</v>
      </c>
      <c r="C440">
        <v>2024</v>
      </c>
      <c r="D440">
        <v>3</v>
      </c>
      <c r="E440">
        <v>8</v>
      </c>
      <c r="F440">
        <v>40</v>
      </c>
      <c r="G440" s="2" t="s">
        <v>125</v>
      </c>
      <c r="H440" s="2" t="s">
        <v>69</v>
      </c>
      <c r="I440" s="2" t="s">
        <v>126</v>
      </c>
      <c r="J440" s="2" t="s">
        <v>20</v>
      </c>
      <c r="K440" s="2" t="s">
        <v>35</v>
      </c>
      <c r="L440">
        <v>4</v>
      </c>
      <c r="M440">
        <v>929.29</v>
      </c>
      <c r="N440">
        <v>3717.16</v>
      </c>
      <c r="O440" t="s">
        <v>29</v>
      </c>
      <c r="P440" s="2" t="s">
        <v>43</v>
      </c>
      <c r="Q440" s="2" t="s">
        <v>24</v>
      </c>
    </row>
    <row r="441" spans="1:17" hidden="1" x14ac:dyDescent="0.3">
      <c r="A441">
        <v>202400781</v>
      </c>
      <c r="B441" s="1">
        <v>45485</v>
      </c>
      <c r="C441">
        <v>2024</v>
      </c>
      <c r="D441">
        <v>3</v>
      </c>
      <c r="E441">
        <v>7</v>
      </c>
      <c r="F441">
        <v>45</v>
      </c>
      <c r="G441" s="2" t="s">
        <v>103</v>
      </c>
      <c r="H441" s="2" t="s">
        <v>26</v>
      </c>
      <c r="I441" s="2" t="s">
        <v>56</v>
      </c>
      <c r="J441" s="2" t="s">
        <v>57</v>
      </c>
      <c r="K441" s="2" t="s">
        <v>50</v>
      </c>
      <c r="L441">
        <v>3</v>
      </c>
      <c r="M441">
        <v>158.62</v>
      </c>
      <c r="N441">
        <v>475.86</v>
      </c>
      <c r="O441" t="s">
        <v>29</v>
      </c>
      <c r="P441" s="2" t="s">
        <v>30</v>
      </c>
      <c r="Q441" s="2" t="s">
        <v>31</v>
      </c>
    </row>
    <row r="442" spans="1:17" hidden="1" x14ac:dyDescent="0.3">
      <c r="A442">
        <v>202400739</v>
      </c>
      <c r="B442" s="1">
        <v>45406</v>
      </c>
      <c r="C442">
        <v>2024</v>
      </c>
      <c r="D442">
        <v>2</v>
      </c>
      <c r="E442">
        <v>4</v>
      </c>
      <c r="F442">
        <v>55</v>
      </c>
      <c r="G442" s="2" t="s">
        <v>87</v>
      </c>
      <c r="H442" s="2" t="s">
        <v>69</v>
      </c>
      <c r="I442" s="2" t="s">
        <v>85</v>
      </c>
      <c r="J442" s="2" t="s">
        <v>57</v>
      </c>
      <c r="K442" s="2" t="s">
        <v>51</v>
      </c>
      <c r="L442">
        <v>9</v>
      </c>
      <c r="M442">
        <v>1472.05</v>
      </c>
      <c r="N442">
        <v>13248.449999999999</v>
      </c>
      <c r="O442" t="s">
        <v>29</v>
      </c>
      <c r="P442" s="2" t="s">
        <v>30</v>
      </c>
      <c r="Q442" s="2" t="s">
        <v>24</v>
      </c>
    </row>
    <row r="443" spans="1:17" x14ac:dyDescent="0.3">
      <c r="A443">
        <v>202400347</v>
      </c>
      <c r="B443" s="1">
        <v>45313</v>
      </c>
      <c r="C443">
        <v>2024</v>
      </c>
      <c r="D443">
        <v>1</v>
      </c>
      <c r="E443">
        <v>1</v>
      </c>
      <c r="F443">
        <v>75</v>
      </c>
      <c r="G443" s="2" t="s">
        <v>84</v>
      </c>
      <c r="H443" s="2" t="s">
        <v>62</v>
      </c>
      <c r="I443" s="2" t="s">
        <v>85</v>
      </c>
      <c r="J443" s="2" t="s">
        <v>57</v>
      </c>
      <c r="K443" s="2" t="s">
        <v>28</v>
      </c>
      <c r="L443">
        <v>6</v>
      </c>
      <c r="M443">
        <v>32.479999999999997</v>
      </c>
      <c r="N443">
        <v>194.88</v>
      </c>
      <c r="O443" t="s">
        <v>29</v>
      </c>
      <c r="P443" s="2" t="s">
        <v>30</v>
      </c>
      <c r="Q443" s="2" t="s">
        <v>24</v>
      </c>
    </row>
    <row r="444" spans="1:17" hidden="1" x14ac:dyDescent="0.3">
      <c r="A444">
        <v>202400335</v>
      </c>
      <c r="B444" s="1">
        <v>45486</v>
      </c>
      <c r="C444">
        <v>2024</v>
      </c>
      <c r="D444">
        <v>3</v>
      </c>
      <c r="E444">
        <v>7</v>
      </c>
      <c r="F444">
        <v>11</v>
      </c>
      <c r="G444" s="2" t="s">
        <v>66</v>
      </c>
      <c r="H444" s="2" t="s">
        <v>18</v>
      </c>
      <c r="I444" s="2" t="s">
        <v>67</v>
      </c>
      <c r="J444" s="2" t="s">
        <v>20</v>
      </c>
      <c r="K444" s="2" t="s">
        <v>47</v>
      </c>
      <c r="L444">
        <v>7</v>
      </c>
      <c r="M444">
        <v>1679.61</v>
      </c>
      <c r="N444">
        <v>11757.269999999999</v>
      </c>
      <c r="O444" t="s">
        <v>29</v>
      </c>
      <c r="P444" s="2" t="s">
        <v>48</v>
      </c>
      <c r="Q444" s="2" t="s">
        <v>24</v>
      </c>
    </row>
    <row r="445" spans="1:17" hidden="1" x14ac:dyDescent="0.3">
      <c r="A445">
        <v>202400286</v>
      </c>
      <c r="B445" s="1">
        <v>45598</v>
      </c>
      <c r="C445">
        <v>2024</v>
      </c>
      <c r="D445">
        <v>4</v>
      </c>
      <c r="E445">
        <v>11</v>
      </c>
      <c r="F445">
        <v>15</v>
      </c>
      <c r="G445" s="2" t="s">
        <v>115</v>
      </c>
      <c r="H445" s="2" t="s">
        <v>140</v>
      </c>
      <c r="I445" s="2" t="s">
        <v>19</v>
      </c>
      <c r="J445" s="2" t="s">
        <v>20</v>
      </c>
      <c r="K445" s="2" t="s">
        <v>59</v>
      </c>
      <c r="L445">
        <v>4</v>
      </c>
      <c r="M445">
        <v>706.15</v>
      </c>
      <c r="N445">
        <v>2824.6</v>
      </c>
      <c r="O445" t="s">
        <v>29</v>
      </c>
      <c r="P445" s="2" t="s">
        <v>30</v>
      </c>
      <c r="Q445" s="2" t="s">
        <v>45</v>
      </c>
    </row>
    <row r="446" spans="1:17" x14ac:dyDescent="0.3">
      <c r="A446">
        <v>202400972</v>
      </c>
      <c r="B446" s="1">
        <v>45374</v>
      </c>
      <c r="C446">
        <v>2024</v>
      </c>
      <c r="D446">
        <v>1</v>
      </c>
      <c r="E446">
        <v>3</v>
      </c>
      <c r="F446">
        <v>37</v>
      </c>
      <c r="G446" s="2" t="s">
        <v>96</v>
      </c>
      <c r="H446" s="2" t="s">
        <v>62</v>
      </c>
      <c r="I446" s="2" t="s">
        <v>56</v>
      </c>
      <c r="J446" s="2" t="s">
        <v>57</v>
      </c>
      <c r="K446" s="2" t="s">
        <v>50</v>
      </c>
      <c r="L446">
        <v>5</v>
      </c>
      <c r="M446">
        <v>474.89</v>
      </c>
      <c r="N446">
        <v>2374.4499999999998</v>
      </c>
      <c r="O446" t="s">
        <v>29</v>
      </c>
      <c r="P446" s="2" t="s">
        <v>43</v>
      </c>
      <c r="Q446" s="2" t="s">
        <v>24</v>
      </c>
    </row>
    <row r="447" spans="1:17" hidden="1" x14ac:dyDescent="0.3">
      <c r="A447">
        <v>202400098</v>
      </c>
      <c r="B447" s="1">
        <v>45579</v>
      </c>
      <c r="C447">
        <v>2024</v>
      </c>
      <c r="D447">
        <v>4</v>
      </c>
      <c r="E447">
        <v>10</v>
      </c>
      <c r="F447">
        <v>30</v>
      </c>
      <c r="G447" s="2" t="s">
        <v>91</v>
      </c>
      <c r="H447" s="2" t="s">
        <v>69</v>
      </c>
      <c r="I447" s="2" t="s">
        <v>65</v>
      </c>
      <c r="J447" s="2" t="s">
        <v>34</v>
      </c>
      <c r="K447" s="2" t="s">
        <v>97</v>
      </c>
      <c r="L447">
        <v>5</v>
      </c>
      <c r="M447">
        <v>519.80999999999995</v>
      </c>
      <c r="N447">
        <v>2599.0499999999997</v>
      </c>
      <c r="O447" t="s">
        <v>29</v>
      </c>
      <c r="P447" s="2" t="s">
        <v>43</v>
      </c>
      <c r="Q447" s="2" t="s">
        <v>24</v>
      </c>
    </row>
    <row r="448" spans="1:17" hidden="1" x14ac:dyDescent="0.3">
      <c r="A448">
        <v>202400627</v>
      </c>
      <c r="B448" s="1">
        <v>45451</v>
      </c>
      <c r="C448">
        <v>2024</v>
      </c>
      <c r="D448">
        <v>2</v>
      </c>
      <c r="E448">
        <v>6</v>
      </c>
      <c r="F448">
        <v>13</v>
      </c>
      <c r="G448" s="2" t="s">
        <v>72</v>
      </c>
      <c r="H448" s="2" t="s">
        <v>69</v>
      </c>
      <c r="I448" s="2" t="s">
        <v>38</v>
      </c>
      <c r="J448" s="2" t="s">
        <v>20</v>
      </c>
      <c r="K448" s="2" t="s">
        <v>58</v>
      </c>
      <c r="L448">
        <v>11</v>
      </c>
      <c r="M448">
        <v>540.95000000000005</v>
      </c>
      <c r="N448">
        <v>5950.4500000000007</v>
      </c>
      <c r="O448" t="s">
        <v>22</v>
      </c>
      <c r="P448" s="2" t="s">
        <v>48</v>
      </c>
      <c r="Q448" s="2" t="s">
        <v>24</v>
      </c>
    </row>
    <row r="449" spans="1:17" hidden="1" x14ac:dyDescent="0.3">
      <c r="A449">
        <v>202401048</v>
      </c>
      <c r="B449" s="1">
        <v>45594</v>
      </c>
      <c r="C449">
        <v>2024</v>
      </c>
      <c r="D449">
        <v>4</v>
      </c>
      <c r="E449">
        <v>10</v>
      </c>
      <c r="F449">
        <v>19</v>
      </c>
      <c r="G449" s="2" t="s">
        <v>122</v>
      </c>
      <c r="H449" s="2" t="s">
        <v>26</v>
      </c>
      <c r="I449" s="2" t="s">
        <v>38</v>
      </c>
      <c r="J449" s="2" t="s">
        <v>20</v>
      </c>
      <c r="K449" s="2" t="s">
        <v>35</v>
      </c>
      <c r="L449">
        <v>11</v>
      </c>
      <c r="M449">
        <v>1262.07</v>
      </c>
      <c r="N449">
        <v>13882.769999999999</v>
      </c>
      <c r="O449" t="s">
        <v>22</v>
      </c>
      <c r="P449" s="2" t="s">
        <v>30</v>
      </c>
      <c r="Q449" s="2" t="s">
        <v>24</v>
      </c>
    </row>
    <row r="450" spans="1:17" hidden="1" x14ac:dyDescent="0.3">
      <c r="A450">
        <v>202400934</v>
      </c>
      <c r="B450" s="1">
        <v>45655</v>
      </c>
      <c r="C450">
        <v>2024</v>
      </c>
      <c r="D450">
        <v>4</v>
      </c>
      <c r="E450">
        <v>12</v>
      </c>
      <c r="F450">
        <v>31</v>
      </c>
      <c r="G450" s="2" t="s">
        <v>127</v>
      </c>
      <c r="H450" s="2" t="s">
        <v>69</v>
      </c>
      <c r="I450" s="2" t="s">
        <v>54</v>
      </c>
      <c r="J450" s="2" t="s">
        <v>20</v>
      </c>
      <c r="K450" s="2" t="s">
        <v>35</v>
      </c>
      <c r="L450">
        <v>4</v>
      </c>
      <c r="M450">
        <v>1433.28</v>
      </c>
      <c r="N450">
        <v>5733.12</v>
      </c>
      <c r="O450" t="s">
        <v>29</v>
      </c>
      <c r="P450" s="2" t="s">
        <v>48</v>
      </c>
      <c r="Q450" s="2" t="s">
        <v>31</v>
      </c>
    </row>
    <row r="451" spans="1:17" hidden="1" x14ac:dyDescent="0.3">
      <c r="A451">
        <v>202400711</v>
      </c>
      <c r="B451" s="1">
        <v>45562</v>
      </c>
      <c r="C451">
        <v>2024</v>
      </c>
      <c r="D451">
        <v>3</v>
      </c>
      <c r="E451">
        <v>9</v>
      </c>
      <c r="F451">
        <v>2</v>
      </c>
      <c r="G451" s="2" t="s">
        <v>32</v>
      </c>
      <c r="H451" s="2" t="s">
        <v>140</v>
      </c>
      <c r="I451" s="2" t="s">
        <v>33</v>
      </c>
      <c r="J451" s="2" t="s">
        <v>34</v>
      </c>
      <c r="K451" s="2" t="s">
        <v>97</v>
      </c>
      <c r="L451">
        <v>5</v>
      </c>
      <c r="M451">
        <v>379.03</v>
      </c>
      <c r="N451">
        <v>1895.1499999999999</v>
      </c>
      <c r="O451" t="s">
        <v>29</v>
      </c>
      <c r="P451" s="2" t="s">
        <v>30</v>
      </c>
      <c r="Q451" s="2" t="s">
        <v>24</v>
      </c>
    </row>
    <row r="452" spans="1:17" x14ac:dyDescent="0.3">
      <c r="A452">
        <v>202400840</v>
      </c>
      <c r="B452" s="1">
        <v>45315</v>
      </c>
      <c r="C452">
        <v>2024</v>
      </c>
      <c r="D452">
        <v>1</v>
      </c>
      <c r="E452">
        <v>1</v>
      </c>
      <c r="F452">
        <v>58</v>
      </c>
      <c r="G452" s="2" t="s">
        <v>68</v>
      </c>
      <c r="H452" s="2" t="s">
        <v>69</v>
      </c>
      <c r="I452" s="2" t="s">
        <v>85</v>
      </c>
      <c r="J452" s="2" t="s">
        <v>57</v>
      </c>
      <c r="K452" s="2" t="s">
        <v>97</v>
      </c>
      <c r="L452">
        <v>11</v>
      </c>
      <c r="M452">
        <v>1113.99</v>
      </c>
      <c r="N452">
        <v>12253.89</v>
      </c>
      <c r="O452" t="s">
        <v>22</v>
      </c>
      <c r="P452" s="2" t="s">
        <v>30</v>
      </c>
      <c r="Q452" s="2" t="s">
        <v>24</v>
      </c>
    </row>
    <row r="453" spans="1:17" hidden="1" x14ac:dyDescent="0.3">
      <c r="A453">
        <v>202400629</v>
      </c>
      <c r="B453" s="1">
        <v>45539</v>
      </c>
      <c r="C453">
        <v>2024</v>
      </c>
      <c r="D453">
        <v>3</v>
      </c>
      <c r="E453">
        <v>9</v>
      </c>
      <c r="F453">
        <v>2</v>
      </c>
      <c r="G453" s="2" t="s">
        <v>32</v>
      </c>
      <c r="H453" s="2" t="s">
        <v>140</v>
      </c>
      <c r="I453" s="2" t="s">
        <v>33</v>
      </c>
      <c r="J453" s="2" t="s">
        <v>34</v>
      </c>
      <c r="K453" s="2" t="s">
        <v>21</v>
      </c>
      <c r="L453">
        <v>14</v>
      </c>
      <c r="M453">
        <v>1873.43</v>
      </c>
      <c r="N453">
        <v>26228.02</v>
      </c>
      <c r="O453" t="s">
        <v>22</v>
      </c>
      <c r="P453" s="2" t="s">
        <v>43</v>
      </c>
      <c r="Q453" s="2" t="s">
        <v>31</v>
      </c>
    </row>
    <row r="454" spans="1:17" hidden="1" x14ac:dyDescent="0.3">
      <c r="A454">
        <v>202400820</v>
      </c>
      <c r="B454" s="1">
        <v>45576</v>
      </c>
      <c r="C454">
        <v>2024</v>
      </c>
      <c r="D454">
        <v>4</v>
      </c>
      <c r="E454">
        <v>10</v>
      </c>
      <c r="F454">
        <v>55</v>
      </c>
      <c r="G454" s="2" t="s">
        <v>87</v>
      </c>
      <c r="H454" s="2" t="s">
        <v>69</v>
      </c>
      <c r="I454" s="2" t="s">
        <v>85</v>
      </c>
      <c r="J454" s="2" t="s">
        <v>57</v>
      </c>
      <c r="K454" s="2" t="s">
        <v>21</v>
      </c>
      <c r="L454">
        <v>5</v>
      </c>
      <c r="M454">
        <v>843.02</v>
      </c>
      <c r="N454">
        <v>4215.1000000000004</v>
      </c>
      <c r="O454" t="s">
        <v>29</v>
      </c>
      <c r="P454" s="2" t="s">
        <v>48</v>
      </c>
      <c r="Q454" s="2" t="s">
        <v>24</v>
      </c>
    </row>
    <row r="455" spans="1:17" hidden="1" x14ac:dyDescent="0.3">
      <c r="A455">
        <v>202400775</v>
      </c>
      <c r="B455" s="1">
        <v>45570</v>
      </c>
      <c r="C455">
        <v>2024</v>
      </c>
      <c r="D455">
        <v>4</v>
      </c>
      <c r="E455">
        <v>10</v>
      </c>
      <c r="F455">
        <v>76</v>
      </c>
      <c r="G455" s="2" t="s">
        <v>104</v>
      </c>
      <c r="H455" s="2" t="s">
        <v>140</v>
      </c>
      <c r="I455" s="2" t="s">
        <v>33</v>
      </c>
      <c r="J455" s="2" t="s">
        <v>34</v>
      </c>
      <c r="K455" s="2" t="s">
        <v>42</v>
      </c>
      <c r="L455">
        <v>13</v>
      </c>
      <c r="M455">
        <v>781.66</v>
      </c>
      <c r="N455">
        <v>10161.58</v>
      </c>
      <c r="O455" t="s">
        <v>22</v>
      </c>
      <c r="P455" s="2" t="s">
        <v>43</v>
      </c>
      <c r="Q455" s="2" t="s">
        <v>40</v>
      </c>
    </row>
    <row r="456" spans="1:17" hidden="1" x14ac:dyDescent="0.3">
      <c r="A456">
        <v>202400971</v>
      </c>
      <c r="B456" s="1">
        <v>45544</v>
      </c>
      <c r="C456">
        <v>2024</v>
      </c>
      <c r="D456">
        <v>3</v>
      </c>
      <c r="E456">
        <v>9</v>
      </c>
      <c r="F456">
        <v>70</v>
      </c>
      <c r="G456" s="2" t="s">
        <v>94</v>
      </c>
      <c r="H456" s="2" t="s">
        <v>18</v>
      </c>
      <c r="I456" s="2" t="s">
        <v>78</v>
      </c>
      <c r="J456" s="2" t="s">
        <v>75</v>
      </c>
      <c r="K456" s="2" t="s">
        <v>58</v>
      </c>
      <c r="L456">
        <v>3</v>
      </c>
      <c r="M456">
        <v>460.99</v>
      </c>
      <c r="N456">
        <v>1382.97</v>
      </c>
      <c r="O456" t="s">
        <v>29</v>
      </c>
      <c r="P456" s="2" t="s">
        <v>30</v>
      </c>
      <c r="Q456" s="2" t="s">
        <v>41</v>
      </c>
    </row>
    <row r="457" spans="1:17" hidden="1" x14ac:dyDescent="0.3">
      <c r="A457">
        <v>202400066</v>
      </c>
      <c r="B457" s="1">
        <v>45422</v>
      </c>
      <c r="C457">
        <v>2024</v>
      </c>
      <c r="D457">
        <v>2</v>
      </c>
      <c r="E457">
        <v>5</v>
      </c>
      <c r="F457">
        <v>16</v>
      </c>
      <c r="G457" s="2" t="s">
        <v>91</v>
      </c>
      <c r="H457" s="2" t="s">
        <v>18</v>
      </c>
      <c r="I457" s="2" t="s">
        <v>65</v>
      </c>
      <c r="J457" s="2" t="s">
        <v>34</v>
      </c>
      <c r="K457" s="2" t="s">
        <v>58</v>
      </c>
      <c r="L457">
        <v>5</v>
      </c>
      <c r="M457">
        <v>1827.9</v>
      </c>
      <c r="N457">
        <v>9139.5</v>
      </c>
      <c r="O457" t="s">
        <v>29</v>
      </c>
      <c r="P457" s="2" t="s">
        <v>30</v>
      </c>
      <c r="Q457" s="2" t="s">
        <v>41</v>
      </c>
    </row>
    <row r="458" spans="1:17" x14ac:dyDescent="0.3">
      <c r="A458">
        <v>202401008</v>
      </c>
      <c r="B458" s="1">
        <v>45302</v>
      </c>
      <c r="C458">
        <v>2024</v>
      </c>
      <c r="D458">
        <v>1</v>
      </c>
      <c r="E458">
        <v>1</v>
      </c>
      <c r="F458">
        <v>44</v>
      </c>
      <c r="G458" s="2" t="s">
        <v>129</v>
      </c>
      <c r="H458" s="2" t="s">
        <v>140</v>
      </c>
      <c r="I458" s="2" t="s">
        <v>27</v>
      </c>
      <c r="J458" s="2" t="s">
        <v>20</v>
      </c>
      <c r="K458" s="2" t="s">
        <v>59</v>
      </c>
      <c r="L458">
        <v>10</v>
      </c>
      <c r="M458">
        <v>672.56</v>
      </c>
      <c r="N458">
        <v>6725.5999999999995</v>
      </c>
      <c r="O458" t="s">
        <v>22</v>
      </c>
      <c r="P458" s="2" t="s">
        <v>30</v>
      </c>
      <c r="Q458" s="2" t="s">
        <v>24</v>
      </c>
    </row>
    <row r="459" spans="1:17" x14ac:dyDescent="0.3">
      <c r="A459">
        <v>202400761</v>
      </c>
      <c r="B459" s="1">
        <v>45321</v>
      </c>
      <c r="C459">
        <v>2024</v>
      </c>
      <c r="D459">
        <v>1</v>
      </c>
      <c r="E459">
        <v>1</v>
      </c>
      <c r="F459">
        <v>34</v>
      </c>
      <c r="G459" s="2" t="s">
        <v>95</v>
      </c>
      <c r="H459" s="2" t="s">
        <v>18</v>
      </c>
      <c r="I459" s="2" t="s">
        <v>54</v>
      </c>
      <c r="J459" s="2" t="s">
        <v>20</v>
      </c>
      <c r="K459" s="2" t="s">
        <v>51</v>
      </c>
      <c r="L459">
        <v>5</v>
      </c>
      <c r="M459">
        <v>1470.5</v>
      </c>
      <c r="N459">
        <v>7352.5</v>
      </c>
      <c r="O459" t="s">
        <v>29</v>
      </c>
      <c r="P459" s="2" t="s">
        <v>48</v>
      </c>
      <c r="Q459" s="2" t="s">
        <v>45</v>
      </c>
    </row>
    <row r="460" spans="1:17" hidden="1" x14ac:dyDescent="0.3">
      <c r="A460">
        <v>202400583</v>
      </c>
      <c r="B460" s="1">
        <v>45642</v>
      </c>
      <c r="C460">
        <v>2024</v>
      </c>
      <c r="D460">
        <v>4</v>
      </c>
      <c r="E460">
        <v>12</v>
      </c>
      <c r="F460">
        <v>39</v>
      </c>
      <c r="G460" s="2" t="s">
        <v>98</v>
      </c>
      <c r="H460" s="2" t="s">
        <v>18</v>
      </c>
      <c r="I460" s="2" t="s">
        <v>19</v>
      </c>
      <c r="J460" s="2" t="s">
        <v>20</v>
      </c>
      <c r="K460" s="2" t="s">
        <v>71</v>
      </c>
      <c r="L460">
        <v>3</v>
      </c>
      <c r="M460">
        <v>601.47</v>
      </c>
      <c r="N460">
        <v>1804.41</v>
      </c>
      <c r="O460" t="s">
        <v>29</v>
      </c>
      <c r="P460" s="2" t="s">
        <v>30</v>
      </c>
      <c r="Q460" s="2" t="s">
        <v>24</v>
      </c>
    </row>
    <row r="461" spans="1:17" hidden="1" x14ac:dyDescent="0.3">
      <c r="A461">
        <v>202401095</v>
      </c>
      <c r="B461" s="1">
        <v>45415</v>
      </c>
      <c r="C461">
        <v>2024</v>
      </c>
      <c r="D461">
        <v>2</v>
      </c>
      <c r="E461">
        <v>5</v>
      </c>
      <c r="F461">
        <v>68</v>
      </c>
      <c r="G461" s="2" t="s">
        <v>128</v>
      </c>
      <c r="H461" s="2" t="s">
        <v>140</v>
      </c>
      <c r="I461" s="2" t="s">
        <v>85</v>
      </c>
      <c r="J461" s="2" t="s">
        <v>57</v>
      </c>
      <c r="K461" s="2" t="s">
        <v>52</v>
      </c>
      <c r="L461">
        <v>13</v>
      </c>
      <c r="M461">
        <v>1664.44</v>
      </c>
      <c r="N461">
        <v>21637.72</v>
      </c>
      <c r="O461" t="s">
        <v>22</v>
      </c>
      <c r="P461" s="2" t="s">
        <v>23</v>
      </c>
      <c r="Q461" s="2" t="s">
        <v>24</v>
      </c>
    </row>
    <row r="462" spans="1:17" hidden="1" x14ac:dyDescent="0.3">
      <c r="A462">
        <v>202401110</v>
      </c>
      <c r="B462" s="1">
        <v>45477</v>
      </c>
      <c r="C462">
        <v>2024</v>
      </c>
      <c r="D462">
        <v>3</v>
      </c>
      <c r="E462">
        <v>7</v>
      </c>
      <c r="F462">
        <v>65</v>
      </c>
      <c r="G462" s="2" t="s">
        <v>112</v>
      </c>
      <c r="H462" s="2" t="s">
        <v>69</v>
      </c>
      <c r="I462" s="2" t="s">
        <v>19</v>
      </c>
      <c r="J462" s="2" t="s">
        <v>20</v>
      </c>
      <c r="K462" s="2" t="s">
        <v>70</v>
      </c>
      <c r="L462">
        <v>3</v>
      </c>
      <c r="M462">
        <v>890.9</v>
      </c>
      <c r="N462">
        <v>2672.7</v>
      </c>
      <c r="O462" t="s">
        <v>29</v>
      </c>
      <c r="P462" s="2" t="s">
        <v>23</v>
      </c>
      <c r="Q462" s="2" t="s">
        <v>49</v>
      </c>
    </row>
    <row r="463" spans="1:17" hidden="1" x14ac:dyDescent="0.3">
      <c r="A463">
        <v>202400303</v>
      </c>
      <c r="B463" s="1">
        <v>45399</v>
      </c>
      <c r="C463">
        <v>2024</v>
      </c>
      <c r="D463">
        <v>2</v>
      </c>
      <c r="E463">
        <v>4</v>
      </c>
      <c r="F463">
        <v>41</v>
      </c>
      <c r="G463" s="2" t="s">
        <v>99</v>
      </c>
      <c r="H463" s="2" t="s">
        <v>18</v>
      </c>
      <c r="I463" s="2" t="s">
        <v>78</v>
      </c>
      <c r="J463" s="2" t="s">
        <v>75</v>
      </c>
      <c r="K463" s="2" t="s">
        <v>97</v>
      </c>
      <c r="L463">
        <v>9</v>
      </c>
      <c r="M463">
        <v>164.1</v>
      </c>
      <c r="N463">
        <v>1476.8999999999999</v>
      </c>
      <c r="O463" t="s">
        <v>29</v>
      </c>
      <c r="P463" s="2" t="s">
        <v>30</v>
      </c>
      <c r="Q463" s="2" t="s">
        <v>24</v>
      </c>
    </row>
    <row r="464" spans="1:17" hidden="1" x14ac:dyDescent="0.3">
      <c r="A464">
        <v>202400255</v>
      </c>
      <c r="B464" s="1">
        <v>45454</v>
      </c>
      <c r="C464">
        <v>2024</v>
      </c>
      <c r="D464">
        <v>2</v>
      </c>
      <c r="E464">
        <v>6</v>
      </c>
      <c r="F464">
        <v>40</v>
      </c>
      <c r="G464" s="2" t="s">
        <v>125</v>
      </c>
      <c r="H464" s="2" t="s">
        <v>69</v>
      </c>
      <c r="I464" s="2" t="s">
        <v>126</v>
      </c>
      <c r="J464" s="2" t="s">
        <v>20</v>
      </c>
      <c r="K464" s="2" t="s">
        <v>50</v>
      </c>
      <c r="L464">
        <v>1</v>
      </c>
      <c r="M464">
        <v>1899.56</v>
      </c>
      <c r="N464">
        <v>1899.56</v>
      </c>
      <c r="O464" t="s">
        <v>36</v>
      </c>
      <c r="P464" s="2" t="s">
        <v>43</v>
      </c>
      <c r="Q464" s="2" t="s">
        <v>24</v>
      </c>
    </row>
    <row r="465" spans="1:17" hidden="1" x14ac:dyDescent="0.3">
      <c r="A465">
        <v>202400981</v>
      </c>
      <c r="B465" s="1">
        <v>45525</v>
      </c>
      <c r="C465">
        <v>2024</v>
      </c>
      <c r="D465">
        <v>3</v>
      </c>
      <c r="E465">
        <v>8</v>
      </c>
      <c r="F465">
        <v>19</v>
      </c>
      <c r="G465" s="2" t="s">
        <v>122</v>
      </c>
      <c r="H465" s="2" t="s">
        <v>26</v>
      </c>
      <c r="I465" s="2" t="s">
        <v>38</v>
      </c>
      <c r="J465" s="2" t="s">
        <v>20</v>
      </c>
      <c r="K465" s="2" t="s">
        <v>51</v>
      </c>
      <c r="L465">
        <v>12</v>
      </c>
      <c r="M465">
        <v>434.03</v>
      </c>
      <c r="N465">
        <v>5208.3599999999997</v>
      </c>
      <c r="O465" t="s">
        <v>22</v>
      </c>
      <c r="P465" s="2" t="s">
        <v>30</v>
      </c>
      <c r="Q465" s="2" t="s">
        <v>24</v>
      </c>
    </row>
    <row r="466" spans="1:17" hidden="1" x14ac:dyDescent="0.3">
      <c r="A466">
        <v>202400953</v>
      </c>
      <c r="B466" s="1">
        <v>45487</v>
      </c>
      <c r="C466">
        <v>2024</v>
      </c>
      <c r="D466">
        <v>3</v>
      </c>
      <c r="E466">
        <v>7</v>
      </c>
      <c r="F466">
        <v>60</v>
      </c>
      <c r="G466" s="2" t="s">
        <v>101</v>
      </c>
      <c r="H466" s="2" t="s">
        <v>62</v>
      </c>
      <c r="I466" s="2" t="s">
        <v>54</v>
      </c>
      <c r="J466" s="2" t="s">
        <v>20</v>
      </c>
      <c r="K466" s="2" t="s">
        <v>21</v>
      </c>
      <c r="L466">
        <v>7</v>
      </c>
      <c r="M466">
        <v>1046.82</v>
      </c>
      <c r="N466">
        <v>7327.74</v>
      </c>
      <c r="O466" t="s">
        <v>29</v>
      </c>
      <c r="P466" s="2" t="s">
        <v>43</v>
      </c>
      <c r="Q466" s="2" t="s">
        <v>40</v>
      </c>
    </row>
    <row r="467" spans="1:17" hidden="1" x14ac:dyDescent="0.3">
      <c r="A467">
        <v>202400313</v>
      </c>
      <c r="B467" s="1">
        <v>45448</v>
      </c>
      <c r="C467">
        <v>2024</v>
      </c>
      <c r="D467">
        <v>2</v>
      </c>
      <c r="E467">
        <v>6</v>
      </c>
      <c r="F467">
        <v>8</v>
      </c>
      <c r="G467" s="2" t="s">
        <v>63</v>
      </c>
      <c r="H467" s="2" t="s">
        <v>26</v>
      </c>
      <c r="I467" s="2" t="s">
        <v>54</v>
      </c>
      <c r="J467" s="2" t="s">
        <v>20</v>
      </c>
      <c r="K467" s="2" t="s">
        <v>51</v>
      </c>
      <c r="L467">
        <v>7</v>
      </c>
      <c r="M467">
        <v>1436.6</v>
      </c>
      <c r="N467">
        <v>10056.199999999999</v>
      </c>
      <c r="O467" t="s">
        <v>29</v>
      </c>
      <c r="P467" s="2" t="s">
        <v>43</v>
      </c>
      <c r="Q467" s="2" t="s">
        <v>24</v>
      </c>
    </row>
    <row r="468" spans="1:17" hidden="1" x14ac:dyDescent="0.3">
      <c r="A468">
        <v>202400543</v>
      </c>
      <c r="B468" s="1">
        <v>45586</v>
      </c>
      <c r="C468">
        <v>2024</v>
      </c>
      <c r="D468">
        <v>4</v>
      </c>
      <c r="E468">
        <v>10</v>
      </c>
      <c r="F468">
        <v>33</v>
      </c>
      <c r="G468" s="2" t="s">
        <v>133</v>
      </c>
      <c r="H468" s="2" t="s">
        <v>140</v>
      </c>
      <c r="I468" s="2" t="s">
        <v>33</v>
      </c>
      <c r="J468" s="2" t="s">
        <v>34</v>
      </c>
      <c r="K468" s="2" t="s">
        <v>70</v>
      </c>
      <c r="L468">
        <v>4</v>
      </c>
      <c r="M468">
        <v>1446.37</v>
      </c>
      <c r="N468">
        <v>5785.48</v>
      </c>
      <c r="O468" t="s">
        <v>29</v>
      </c>
      <c r="P468" s="2" t="s">
        <v>43</v>
      </c>
      <c r="Q468" s="2" t="s">
        <v>40</v>
      </c>
    </row>
    <row r="469" spans="1:17" hidden="1" x14ac:dyDescent="0.3">
      <c r="A469">
        <v>202400222</v>
      </c>
      <c r="B469" s="1">
        <v>45465</v>
      </c>
      <c r="C469">
        <v>2024</v>
      </c>
      <c r="D469">
        <v>2</v>
      </c>
      <c r="E469">
        <v>6</v>
      </c>
      <c r="F469">
        <v>61</v>
      </c>
      <c r="G469" s="2" t="s">
        <v>90</v>
      </c>
      <c r="H469" s="2" t="s">
        <v>69</v>
      </c>
      <c r="I469" s="2" t="s">
        <v>65</v>
      </c>
      <c r="J469" s="2" t="s">
        <v>34</v>
      </c>
      <c r="K469" s="2" t="s">
        <v>71</v>
      </c>
      <c r="L469">
        <v>12</v>
      </c>
      <c r="M469">
        <v>804.61</v>
      </c>
      <c r="N469">
        <v>9655.32</v>
      </c>
      <c r="O469" t="s">
        <v>22</v>
      </c>
      <c r="P469" s="2" t="s">
        <v>30</v>
      </c>
      <c r="Q469" s="2" t="s">
        <v>45</v>
      </c>
    </row>
    <row r="470" spans="1:17" hidden="1" x14ac:dyDescent="0.3">
      <c r="A470">
        <v>202400478</v>
      </c>
      <c r="B470" s="1">
        <v>45586</v>
      </c>
      <c r="C470">
        <v>2024</v>
      </c>
      <c r="D470">
        <v>4</v>
      </c>
      <c r="E470">
        <v>10</v>
      </c>
      <c r="F470">
        <v>44</v>
      </c>
      <c r="G470" s="2" t="s">
        <v>129</v>
      </c>
      <c r="H470" s="2" t="s">
        <v>140</v>
      </c>
      <c r="I470" s="2" t="s">
        <v>27</v>
      </c>
      <c r="J470" s="2" t="s">
        <v>20</v>
      </c>
      <c r="K470" s="2" t="s">
        <v>35</v>
      </c>
      <c r="L470">
        <v>3</v>
      </c>
      <c r="M470">
        <v>1918.87</v>
      </c>
      <c r="N470">
        <v>5756.61</v>
      </c>
      <c r="O470" t="s">
        <v>29</v>
      </c>
      <c r="P470" s="2" t="s">
        <v>30</v>
      </c>
      <c r="Q470" s="2" t="s">
        <v>24</v>
      </c>
    </row>
    <row r="471" spans="1:17" x14ac:dyDescent="0.3">
      <c r="A471">
        <v>202400389</v>
      </c>
      <c r="B471" s="1">
        <v>45303</v>
      </c>
      <c r="C471">
        <v>2024</v>
      </c>
      <c r="D471">
        <v>1</v>
      </c>
      <c r="E471">
        <v>1</v>
      </c>
      <c r="F471">
        <v>73</v>
      </c>
      <c r="G471" s="2" t="s">
        <v>111</v>
      </c>
      <c r="H471" s="2" t="s">
        <v>26</v>
      </c>
      <c r="I471" s="2" t="s">
        <v>27</v>
      </c>
      <c r="J471" s="2" t="s">
        <v>20</v>
      </c>
      <c r="K471" s="2" t="s">
        <v>59</v>
      </c>
      <c r="L471">
        <v>12</v>
      </c>
      <c r="M471">
        <v>1818.87</v>
      </c>
      <c r="N471">
        <v>21826.44</v>
      </c>
      <c r="O471" t="s">
        <v>22</v>
      </c>
      <c r="P471" s="2" t="s">
        <v>30</v>
      </c>
      <c r="Q471" s="2" t="s">
        <v>45</v>
      </c>
    </row>
    <row r="472" spans="1:17" hidden="1" x14ac:dyDescent="0.3">
      <c r="A472">
        <v>202400860</v>
      </c>
      <c r="B472" s="1">
        <v>45566</v>
      </c>
      <c r="C472">
        <v>2024</v>
      </c>
      <c r="D472">
        <v>4</v>
      </c>
      <c r="E472">
        <v>10</v>
      </c>
      <c r="F472">
        <v>30</v>
      </c>
      <c r="G472" s="2" t="s">
        <v>91</v>
      </c>
      <c r="H472" s="2" t="s">
        <v>69</v>
      </c>
      <c r="I472" s="2" t="s">
        <v>65</v>
      </c>
      <c r="J472" s="2" t="s">
        <v>34</v>
      </c>
      <c r="K472" s="2" t="s">
        <v>51</v>
      </c>
      <c r="L472">
        <v>10</v>
      </c>
      <c r="M472">
        <v>1606.34</v>
      </c>
      <c r="N472">
        <v>16063.4</v>
      </c>
      <c r="O472" t="s">
        <v>22</v>
      </c>
      <c r="P472" s="2" t="s">
        <v>23</v>
      </c>
      <c r="Q472" s="2" t="s">
        <v>40</v>
      </c>
    </row>
    <row r="473" spans="1:17" hidden="1" x14ac:dyDescent="0.3">
      <c r="A473">
        <v>202400984</v>
      </c>
      <c r="B473" s="1">
        <v>45516</v>
      </c>
      <c r="C473">
        <v>2024</v>
      </c>
      <c r="D473">
        <v>3</v>
      </c>
      <c r="E473">
        <v>8</v>
      </c>
      <c r="F473">
        <v>12</v>
      </c>
      <c r="G473" s="2" t="s">
        <v>119</v>
      </c>
      <c r="H473" s="2" t="s">
        <v>26</v>
      </c>
      <c r="I473" s="2" t="s">
        <v>67</v>
      </c>
      <c r="J473" s="2" t="s">
        <v>20</v>
      </c>
      <c r="K473" s="2" t="s">
        <v>21</v>
      </c>
      <c r="L473">
        <v>7</v>
      </c>
      <c r="M473">
        <v>125.79</v>
      </c>
      <c r="N473">
        <v>880.53000000000009</v>
      </c>
      <c r="O473" t="s">
        <v>29</v>
      </c>
      <c r="P473" s="2" t="s">
        <v>43</v>
      </c>
      <c r="Q473" s="2" t="s">
        <v>24</v>
      </c>
    </row>
    <row r="474" spans="1:17" hidden="1" x14ac:dyDescent="0.3">
      <c r="A474">
        <v>202401055</v>
      </c>
      <c r="B474" s="1">
        <v>45423</v>
      </c>
      <c r="C474">
        <v>2024</v>
      </c>
      <c r="D474">
        <v>2</v>
      </c>
      <c r="E474">
        <v>5</v>
      </c>
      <c r="F474">
        <v>57</v>
      </c>
      <c r="G474" s="2" t="s">
        <v>53</v>
      </c>
      <c r="H474" s="2" t="s">
        <v>18</v>
      </c>
      <c r="I474" s="2" t="s">
        <v>54</v>
      </c>
      <c r="J474" s="2" t="s">
        <v>20</v>
      </c>
      <c r="K474" s="2" t="s">
        <v>97</v>
      </c>
      <c r="L474">
        <v>7</v>
      </c>
      <c r="M474">
        <v>456.32</v>
      </c>
      <c r="N474">
        <v>3194.24</v>
      </c>
      <c r="O474" t="s">
        <v>29</v>
      </c>
      <c r="P474" s="2" t="s">
        <v>23</v>
      </c>
      <c r="Q474" s="2" t="s">
        <v>24</v>
      </c>
    </row>
    <row r="475" spans="1:17" hidden="1" x14ac:dyDescent="0.3">
      <c r="A475">
        <v>202400306</v>
      </c>
      <c r="B475" s="1">
        <v>45632</v>
      </c>
      <c r="C475">
        <v>2024</v>
      </c>
      <c r="D475">
        <v>4</v>
      </c>
      <c r="E475">
        <v>12</v>
      </c>
      <c r="F475">
        <v>66</v>
      </c>
      <c r="G475" s="2" t="s">
        <v>107</v>
      </c>
      <c r="H475" s="2" t="s">
        <v>69</v>
      </c>
      <c r="I475" s="2" t="s">
        <v>78</v>
      </c>
      <c r="J475" s="2" t="s">
        <v>75</v>
      </c>
      <c r="K475" s="2" t="s">
        <v>47</v>
      </c>
      <c r="L475">
        <v>3</v>
      </c>
      <c r="M475">
        <v>582.88</v>
      </c>
      <c r="N475">
        <v>1748.6399999999999</v>
      </c>
      <c r="O475" t="s">
        <v>29</v>
      </c>
      <c r="P475" s="2" t="s">
        <v>48</v>
      </c>
      <c r="Q475" s="2" t="s">
        <v>24</v>
      </c>
    </row>
    <row r="476" spans="1:17" x14ac:dyDescent="0.3">
      <c r="A476">
        <v>202401122</v>
      </c>
      <c r="B476" s="1">
        <v>45368</v>
      </c>
      <c r="C476">
        <v>2024</v>
      </c>
      <c r="D476">
        <v>1</v>
      </c>
      <c r="E476">
        <v>3</v>
      </c>
      <c r="F476">
        <v>8</v>
      </c>
      <c r="G476" s="2" t="s">
        <v>63</v>
      </c>
      <c r="H476" s="2" t="s">
        <v>26</v>
      </c>
      <c r="I476" s="2" t="s">
        <v>54</v>
      </c>
      <c r="J476" s="2" t="s">
        <v>20</v>
      </c>
      <c r="K476" s="2" t="s">
        <v>35</v>
      </c>
      <c r="L476">
        <v>6</v>
      </c>
      <c r="M476">
        <v>1264.23</v>
      </c>
      <c r="N476">
        <v>7585.38</v>
      </c>
      <c r="O476" t="s">
        <v>29</v>
      </c>
      <c r="P476" s="2" t="s">
        <v>43</v>
      </c>
      <c r="Q476" s="2" t="s">
        <v>49</v>
      </c>
    </row>
    <row r="477" spans="1:17" hidden="1" x14ac:dyDescent="0.3">
      <c r="A477">
        <v>202400808</v>
      </c>
      <c r="B477" s="1">
        <v>45611</v>
      </c>
      <c r="C477">
        <v>2024</v>
      </c>
      <c r="D477">
        <v>4</v>
      </c>
      <c r="E477">
        <v>11</v>
      </c>
      <c r="F477">
        <v>32</v>
      </c>
      <c r="G477" s="2" t="s">
        <v>93</v>
      </c>
      <c r="H477" s="2" t="s">
        <v>26</v>
      </c>
      <c r="I477" s="2" t="s">
        <v>65</v>
      </c>
      <c r="J477" s="2" t="s">
        <v>34</v>
      </c>
      <c r="K477" s="2" t="s">
        <v>35</v>
      </c>
      <c r="L477">
        <v>9</v>
      </c>
      <c r="M477">
        <v>1097.25</v>
      </c>
      <c r="N477">
        <v>9875.25</v>
      </c>
      <c r="O477" t="s">
        <v>29</v>
      </c>
      <c r="P477" s="2" t="s">
        <v>48</v>
      </c>
      <c r="Q477" s="2" t="s">
        <v>31</v>
      </c>
    </row>
    <row r="478" spans="1:17" hidden="1" x14ac:dyDescent="0.3">
      <c r="A478">
        <v>202400789</v>
      </c>
      <c r="B478" s="1">
        <v>45493</v>
      </c>
      <c r="C478">
        <v>2024</v>
      </c>
      <c r="D478">
        <v>3</v>
      </c>
      <c r="E478">
        <v>7</v>
      </c>
      <c r="F478">
        <v>38</v>
      </c>
      <c r="G478" s="2" t="s">
        <v>92</v>
      </c>
      <c r="H478" s="2" t="s">
        <v>18</v>
      </c>
      <c r="I478" s="2" t="s">
        <v>78</v>
      </c>
      <c r="J478" s="2" t="s">
        <v>75</v>
      </c>
      <c r="K478" s="2" t="s">
        <v>60</v>
      </c>
      <c r="L478">
        <v>6</v>
      </c>
      <c r="M478">
        <v>652.33000000000004</v>
      </c>
      <c r="N478">
        <v>3913.9800000000005</v>
      </c>
      <c r="O478" t="s">
        <v>29</v>
      </c>
      <c r="P478" s="2" t="s">
        <v>43</v>
      </c>
      <c r="Q478" s="2" t="s">
        <v>45</v>
      </c>
    </row>
    <row r="479" spans="1:17" hidden="1" x14ac:dyDescent="0.3">
      <c r="A479">
        <v>202400938</v>
      </c>
      <c r="B479" s="1">
        <v>45558</v>
      </c>
      <c r="C479">
        <v>2024</v>
      </c>
      <c r="D479">
        <v>3</v>
      </c>
      <c r="E479">
        <v>9</v>
      </c>
      <c r="F479">
        <v>3</v>
      </c>
      <c r="G479" s="2" t="s">
        <v>44</v>
      </c>
      <c r="H479" s="2" t="s">
        <v>26</v>
      </c>
      <c r="I479" s="2" t="s">
        <v>38</v>
      </c>
      <c r="J479" s="2" t="s">
        <v>20</v>
      </c>
      <c r="K479" s="2" t="s">
        <v>70</v>
      </c>
      <c r="L479">
        <v>10</v>
      </c>
      <c r="M479">
        <v>1537.74</v>
      </c>
      <c r="N479">
        <v>15377.4</v>
      </c>
      <c r="O479" t="s">
        <v>22</v>
      </c>
      <c r="P479" s="2" t="s">
        <v>30</v>
      </c>
      <c r="Q479" s="2" t="s">
        <v>24</v>
      </c>
    </row>
    <row r="480" spans="1:17" hidden="1" x14ac:dyDescent="0.3">
      <c r="A480">
        <v>202401150</v>
      </c>
      <c r="B480" s="1">
        <v>45420</v>
      </c>
      <c r="C480">
        <v>2024</v>
      </c>
      <c r="D480">
        <v>2</v>
      </c>
      <c r="E480">
        <v>5</v>
      </c>
      <c r="F480">
        <v>75</v>
      </c>
      <c r="G480" s="2" t="s">
        <v>84</v>
      </c>
      <c r="H480" s="2" t="s">
        <v>62</v>
      </c>
      <c r="I480" s="2" t="s">
        <v>85</v>
      </c>
      <c r="J480" s="2" t="s">
        <v>57</v>
      </c>
      <c r="K480" s="2" t="s">
        <v>39</v>
      </c>
      <c r="L480">
        <v>11</v>
      </c>
      <c r="M480">
        <v>503.33</v>
      </c>
      <c r="N480">
        <v>5536.63</v>
      </c>
      <c r="O480" t="s">
        <v>22</v>
      </c>
      <c r="P480" s="2" t="s">
        <v>30</v>
      </c>
      <c r="Q480" s="2" t="s">
        <v>41</v>
      </c>
    </row>
    <row r="481" spans="1:17" hidden="1" x14ac:dyDescent="0.3">
      <c r="A481">
        <v>202400250</v>
      </c>
      <c r="B481" s="1">
        <v>45470</v>
      </c>
      <c r="C481">
        <v>2024</v>
      </c>
      <c r="D481">
        <v>2</v>
      </c>
      <c r="E481">
        <v>6</v>
      </c>
      <c r="F481">
        <v>41</v>
      </c>
      <c r="G481" s="2" t="s">
        <v>99</v>
      </c>
      <c r="H481" s="2" t="s">
        <v>18</v>
      </c>
      <c r="I481" s="2" t="s">
        <v>78</v>
      </c>
      <c r="J481" s="2" t="s">
        <v>75</v>
      </c>
      <c r="K481" s="2" t="s">
        <v>59</v>
      </c>
      <c r="L481">
        <v>2</v>
      </c>
      <c r="M481">
        <v>1365.6</v>
      </c>
      <c r="N481">
        <v>2731.2</v>
      </c>
      <c r="O481" t="s">
        <v>36</v>
      </c>
      <c r="P481" s="2" t="s">
        <v>43</v>
      </c>
      <c r="Q481" s="2" t="s">
        <v>24</v>
      </c>
    </row>
    <row r="482" spans="1:17" x14ac:dyDescent="0.3">
      <c r="A482">
        <v>202401167</v>
      </c>
      <c r="B482" s="1">
        <v>45378</v>
      </c>
      <c r="C482">
        <v>2024</v>
      </c>
      <c r="D482">
        <v>1</v>
      </c>
      <c r="E482">
        <v>3</v>
      </c>
      <c r="F482">
        <v>54</v>
      </c>
      <c r="G482" s="2" t="s">
        <v>68</v>
      </c>
      <c r="H482" s="2" t="s">
        <v>69</v>
      </c>
      <c r="I482" s="2" t="s">
        <v>19</v>
      </c>
      <c r="J482" s="2" t="s">
        <v>20</v>
      </c>
      <c r="K482" s="2" t="s">
        <v>39</v>
      </c>
      <c r="L482">
        <v>3</v>
      </c>
      <c r="M482">
        <v>1331.56</v>
      </c>
      <c r="N482">
        <v>3994.68</v>
      </c>
      <c r="O482" t="s">
        <v>29</v>
      </c>
      <c r="P482" s="2" t="s">
        <v>30</v>
      </c>
      <c r="Q482" s="2" t="s">
        <v>40</v>
      </c>
    </row>
    <row r="483" spans="1:17" hidden="1" x14ac:dyDescent="0.3">
      <c r="A483">
        <v>202400610</v>
      </c>
      <c r="B483" s="1">
        <v>45548</v>
      </c>
      <c r="C483">
        <v>2024</v>
      </c>
      <c r="D483">
        <v>3</v>
      </c>
      <c r="E483">
        <v>9</v>
      </c>
      <c r="F483">
        <v>49</v>
      </c>
      <c r="G483" s="2" t="s">
        <v>83</v>
      </c>
      <c r="H483" s="2" t="s">
        <v>69</v>
      </c>
      <c r="I483" s="2" t="s">
        <v>56</v>
      </c>
      <c r="J483" s="2" t="s">
        <v>57</v>
      </c>
      <c r="K483" s="2" t="s">
        <v>21</v>
      </c>
      <c r="L483">
        <v>10</v>
      </c>
      <c r="M483">
        <v>1492.23</v>
      </c>
      <c r="N483">
        <v>14922.3</v>
      </c>
      <c r="O483" t="s">
        <v>22</v>
      </c>
      <c r="P483" s="2" t="s">
        <v>30</v>
      </c>
      <c r="Q483" s="2" t="s">
        <v>24</v>
      </c>
    </row>
    <row r="484" spans="1:17" hidden="1" x14ac:dyDescent="0.3">
      <c r="A484">
        <v>202400072</v>
      </c>
      <c r="B484" s="1">
        <v>45470</v>
      </c>
      <c r="C484">
        <v>2024</v>
      </c>
      <c r="D484">
        <v>2</v>
      </c>
      <c r="E484">
        <v>6</v>
      </c>
      <c r="F484">
        <v>62</v>
      </c>
      <c r="G484" s="2" t="s">
        <v>118</v>
      </c>
      <c r="H484" s="2" t="s">
        <v>18</v>
      </c>
      <c r="I484" s="2" t="s">
        <v>54</v>
      </c>
      <c r="J484" s="2" t="s">
        <v>20</v>
      </c>
      <c r="K484" s="2" t="s">
        <v>52</v>
      </c>
      <c r="L484">
        <v>4</v>
      </c>
      <c r="M484">
        <v>398.47</v>
      </c>
      <c r="N484">
        <v>1593.88</v>
      </c>
      <c r="O484" t="s">
        <v>29</v>
      </c>
      <c r="P484" s="2" t="s">
        <v>43</v>
      </c>
      <c r="Q484" s="2" t="s">
        <v>40</v>
      </c>
    </row>
    <row r="485" spans="1:17" x14ac:dyDescent="0.3">
      <c r="A485">
        <v>202400095</v>
      </c>
      <c r="B485" s="1">
        <v>45373</v>
      </c>
      <c r="C485">
        <v>2024</v>
      </c>
      <c r="D485">
        <v>1</v>
      </c>
      <c r="E485">
        <v>3</v>
      </c>
      <c r="F485">
        <v>21</v>
      </c>
      <c r="G485" s="2" t="s">
        <v>53</v>
      </c>
      <c r="H485" s="2" t="s">
        <v>26</v>
      </c>
      <c r="I485" s="2" t="s">
        <v>78</v>
      </c>
      <c r="J485" s="2" t="s">
        <v>75</v>
      </c>
      <c r="K485" s="2" t="s">
        <v>51</v>
      </c>
      <c r="L485">
        <v>6</v>
      </c>
      <c r="M485">
        <v>1554.49</v>
      </c>
      <c r="N485">
        <v>9326.94</v>
      </c>
      <c r="O485" t="s">
        <v>29</v>
      </c>
      <c r="P485" s="2" t="s">
        <v>30</v>
      </c>
      <c r="Q485" s="2" t="s">
        <v>45</v>
      </c>
    </row>
    <row r="486" spans="1:17" hidden="1" x14ac:dyDescent="0.3">
      <c r="A486">
        <v>202400788</v>
      </c>
      <c r="B486" s="1">
        <v>45623</v>
      </c>
      <c r="C486">
        <v>2024</v>
      </c>
      <c r="D486">
        <v>4</v>
      </c>
      <c r="E486">
        <v>11</v>
      </c>
      <c r="F486">
        <v>55</v>
      </c>
      <c r="G486" s="2" t="s">
        <v>87</v>
      </c>
      <c r="H486" s="2" t="s">
        <v>69</v>
      </c>
      <c r="I486" s="2" t="s">
        <v>85</v>
      </c>
      <c r="J486" s="2" t="s">
        <v>57</v>
      </c>
      <c r="K486" s="2" t="s">
        <v>70</v>
      </c>
      <c r="L486">
        <v>11</v>
      </c>
      <c r="M486">
        <v>1590.5</v>
      </c>
      <c r="N486">
        <v>17495.5</v>
      </c>
      <c r="O486" t="s">
        <v>22</v>
      </c>
      <c r="P486" s="2" t="s">
        <v>23</v>
      </c>
      <c r="Q486" s="2" t="s">
        <v>24</v>
      </c>
    </row>
    <row r="487" spans="1:17" hidden="1" x14ac:dyDescent="0.3">
      <c r="A487">
        <v>202400034</v>
      </c>
      <c r="B487" s="1">
        <v>45448</v>
      </c>
      <c r="C487">
        <v>2024</v>
      </c>
      <c r="D487">
        <v>2</v>
      </c>
      <c r="E487">
        <v>6</v>
      </c>
      <c r="F487">
        <v>8</v>
      </c>
      <c r="G487" s="2" t="s">
        <v>63</v>
      </c>
      <c r="H487" s="2" t="s">
        <v>26</v>
      </c>
      <c r="I487" s="2" t="s">
        <v>54</v>
      </c>
      <c r="J487" s="2" t="s">
        <v>20</v>
      </c>
      <c r="K487" s="2" t="s">
        <v>70</v>
      </c>
      <c r="L487">
        <v>2</v>
      </c>
      <c r="M487">
        <v>1498.25</v>
      </c>
      <c r="N487">
        <v>2996.5</v>
      </c>
      <c r="O487" t="s">
        <v>36</v>
      </c>
      <c r="P487" s="2" t="s">
        <v>43</v>
      </c>
      <c r="Q487" s="2" t="s">
        <v>31</v>
      </c>
    </row>
    <row r="488" spans="1:17" hidden="1" x14ac:dyDescent="0.3">
      <c r="A488">
        <v>202401078</v>
      </c>
      <c r="B488" s="1">
        <v>45523</v>
      </c>
      <c r="C488">
        <v>2024</v>
      </c>
      <c r="D488">
        <v>3</v>
      </c>
      <c r="E488">
        <v>8</v>
      </c>
      <c r="F488">
        <v>5</v>
      </c>
      <c r="G488" s="2" t="s">
        <v>121</v>
      </c>
      <c r="H488" s="2" t="s">
        <v>62</v>
      </c>
      <c r="I488" s="2" t="s">
        <v>27</v>
      </c>
      <c r="J488" s="2" t="s">
        <v>20</v>
      </c>
      <c r="K488" s="2" t="s">
        <v>28</v>
      </c>
      <c r="L488">
        <v>11</v>
      </c>
      <c r="M488">
        <v>1753.03</v>
      </c>
      <c r="N488">
        <v>19283.329999999998</v>
      </c>
      <c r="O488" t="s">
        <v>22</v>
      </c>
      <c r="P488" s="2" t="s">
        <v>48</v>
      </c>
      <c r="Q488" s="2" t="s">
        <v>40</v>
      </c>
    </row>
    <row r="489" spans="1:17" hidden="1" x14ac:dyDescent="0.3">
      <c r="A489">
        <v>202400786</v>
      </c>
      <c r="B489" s="1">
        <v>45653</v>
      </c>
      <c r="C489">
        <v>2024</v>
      </c>
      <c r="D489">
        <v>4</v>
      </c>
      <c r="E489">
        <v>12</v>
      </c>
      <c r="F489">
        <v>49</v>
      </c>
      <c r="G489" s="2" t="s">
        <v>83</v>
      </c>
      <c r="H489" s="2" t="s">
        <v>69</v>
      </c>
      <c r="I489" s="2" t="s">
        <v>56</v>
      </c>
      <c r="J489" s="2" t="s">
        <v>57</v>
      </c>
      <c r="K489" s="2" t="s">
        <v>47</v>
      </c>
      <c r="L489">
        <v>4</v>
      </c>
      <c r="M489">
        <v>562.42999999999995</v>
      </c>
      <c r="N489">
        <v>2249.7199999999998</v>
      </c>
      <c r="O489" t="s">
        <v>29</v>
      </c>
      <c r="P489" s="2" t="s">
        <v>43</v>
      </c>
      <c r="Q489" s="2" t="s">
        <v>24</v>
      </c>
    </row>
    <row r="490" spans="1:17" hidden="1" x14ac:dyDescent="0.3">
      <c r="A490">
        <v>202400594</v>
      </c>
      <c r="B490" s="1">
        <v>45440</v>
      </c>
      <c r="C490">
        <v>2024</v>
      </c>
      <c r="D490">
        <v>2</v>
      </c>
      <c r="E490">
        <v>5</v>
      </c>
      <c r="F490">
        <v>49</v>
      </c>
      <c r="G490" s="2" t="s">
        <v>83</v>
      </c>
      <c r="H490" s="2" t="s">
        <v>69</v>
      </c>
      <c r="I490" s="2" t="s">
        <v>56</v>
      </c>
      <c r="J490" s="2" t="s">
        <v>57</v>
      </c>
      <c r="K490" s="2" t="s">
        <v>71</v>
      </c>
      <c r="L490">
        <v>9</v>
      </c>
      <c r="M490">
        <v>78.25</v>
      </c>
      <c r="N490">
        <v>704.25</v>
      </c>
      <c r="O490" t="s">
        <v>29</v>
      </c>
      <c r="P490" s="2" t="s">
        <v>48</v>
      </c>
      <c r="Q490" s="2" t="s">
        <v>40</v>
      </c>
    </row>
    <row r="491" spans="1:17" hidden="1" x14ac:dyDescent="0.3">
      <c r="A491">
        <v>202400449</v>
      </c>
      <c r="B491" s="1">
        <v>45619</v>
      </c>
      <c r="C491">
        <v>2024</v>
      </c>
      <c r="D491">
        <v>4</v>
      </c>
      <c r="E491">
        <v>11</v>
      </c>
      <c r="F491">
        <v>73</v>
      </c>
      <c r="G491" s="2" t="s">
        <v>111</v>
      </c>
      <c r="H491" s="2" t="s">
        <v>26</v>
      </c>
      <c r="I491" s="2" t="s">
        <v>27</v>
      </c>
      <c r="J491" s="2" t="s">
        <v>20</v>
      </c>
      <c r="K491" s="2" t="s">
        <v>71</v>
      </c>
      <c r="L491">
        <v>6</v>
      </c>
      <c r="M491">
        <v>1454.39</v>
      </c>
      <c r="N491">
        <v>8726.34</v>
      </c>
      <c r="O491" t="s">
        <v>29</v>
      </c>
      <c r="P491" s="2" t="s">
        <v>48</v>
      </c>
      <c r="Q491" s="2" t="s">
        <v>24</v>
      </c>
    </row>
    <row r="492" spans="1:17" hidden="1" x14ac:dyDescent="0.3">
      <c r="A492">
        <v>202400446</v>
      </c>
      <c r="B492" s="1">
        <v>45433</v>
      </c>
      <c r="C492">
        <v>2024</v>
      </c>
      <c r="D492">
        <v>2</v>
      </c>
      <c r="E492">
        <v>5</v>
      </c>
      <c r="F492">
        <v>32</v>
      </c>
      <c r="G492" s="2" t="s">
        <v>93</v>
      </c>
      <c r="H492" s="2" t="s">
        <v>26</v>
      </c>
      <c r="I492" s="2" t="s">
        <v>65</v>
      </c>
      <c r="J492" s="2" t="s">
        <v>34</v>
      </c>
      <c r="K492" s="2" t="s">
        <v>59</v>
      </c>
      <c r="L492">
        <v>2</v>
      </c>
      <c r="M492">
        <v>1824.77</v>
      </c>
      <c r="N492">
        <v>3649.54</v>
      </c>
      <c r="O492" t="s">
        <v>36</v>
      </c>
      <c r="P492" s="2" t="s">
        <v>30</v>
      </c>
      <c r="Q492" s="2" t="s">
        <v>45</v>
      </c>
    </row>
    <row r="493" spans="1:17" hidden="1" x14ac:dyDescent="0.3">
      <c r="A493">
        <v>202400842</v>
      </c>
      <c r="B493" s="1">
        <v>45580</v>
      </c>
      <c r="C493">
        <v>2024</v>
      </c>
      <c r="D493">
        <v>4</v>
      </c>
      <c r="E493">
        <v>10</v>
      </c>
      <c r="F493">
        <v>1</v>
      </c>
      <c r="G493" s="2" t="s">
        <v>17</v>
      </c>
      <c r="H493" s="2" t="s">
        <v>26</v>
      </c>
      <c r="I493" s="2" t="s">
        <v>78</v>
      </c>
      <c r="J493" s="2" t="s">
        <v>75</v>
      </c>
      <c r="K493" s="2" t="s">
        <v>71</v>
      </c>
      <c r="L493">
        <v>11</v>
      </c>
      <c r="M493">
        <v>953.1</v>
      </c>
      <c r="N493">
        <v>10484.1</v>
      </c>
      <c r="O493" t="s">
        <v>22</v>
      </c>
      <c r="P493" s="2" t="s">
        <v>30</v>
      </c>
      <c r="Q493" s="2" t="s">
        <v>31</v>
      </c>
    </row>
    <row r="494" spans="1:17" hidden="1" x14ac:dyDescent="0.3">
      <c r="A494">
        <v>202401198</v>
      </c>
      <c r="B494" s="1">
        <v>45511</v>
      </c>
      <c r="C494">
        <v>2024</v>
      </c>
      <c r="D494">
        <v>3</v>
      </c>
      <c r="E494">
        <v>8</v>
      </c>
      <c r="F494">
        <v>53</v>
      </c>
      <c r="G494" s="2" t="s">
        <v>113</v>
      </c>
      <c r="H494" s="2" t="s">
        <v>26</v>
      </c>
      <c r="I494" s="2" t="s">
        <v>27</v>
      </c>
      <c r="J494" s="2" t="s">
        <v>20</v>
      </c>
      <c r="K494" s="2" t="s">
        <v>50</v>
      </c>
      <c r="L494">
        <v>7</v>
      </c>
      <c r="M494">
        <v>1928.99</v>
      </c>
      <c r="N494">
        <v>13502.93</v>
      </c>
      <c r="O494" t="s">
        <v>29</v>
      </c>
      <c r="P494" s="2" t="s">
        <v>30</v>
      </c>
      <c r="Q494" s="2" t="s">
        <v>41</v>
      </c>
    </row>
    <row r="495" spans="1:17" hidden="1" x14ac:dyDescent="0.3">
      <c r="A495">
        <v>202401062</v>
      </c>
      <c r="B495" s="1">
        <v>45447</v>
      </c>
      <c r="C495">
        <v>2024</v>
      </c>
      <c r="D495">
        <v>2</v>
      </c>
      <c r="E495">
        <v>6</v>
      </c>
      <c r="F495">
        <v>29</v>
      </c>
      <c r="G495" s="2" t="s">
        <v>61</v>
      </c>
      <c r="H495" s="2" t="s">
        <v>62</v>
      </c>
      <c r="I495" s="2" t="s">
        <v>19</v>
      </c>
      <c r="J495" s="2" t="s">
        <v>20</v>
      </c>
      <c r="K495" s="2" t="s">
        <v>59</v>
      </c>
      <c r="L495">
        <v>2</v>
      </c>
      <c r="M495">
        <v>353.96</v>
      </c>
      <c r="N495">
        <v>707.92</v>
      </c>
      <c r="O495" t="s">
        <v>36</v>
      </c>
      <c r="P495" s="2" t="s">
        <v>30</v>
      </c>
      <c r="Q495" s="2" t="s">
        <v>31</v>
      </c>
    </row>
    <row r="496" spans="1:17" hidden="1" x14ac:dyDescent="0.3">
      <c r="A496">
        <v>202400078</v>
      </c>
      <c r="B496" s="1">
        <v>45512</v>
      </c>
      <c r="C496">
        <v>2024</v>
      </c>
      <c r="D496">
        <v>3</v>
      </c>
      <c r="E496">
        <v>8</v>
      </c>
      <c r="F496">
        <v>16</v>
      </c>
      <c r="G496" s="2" t="s">
        <v>91</v>
      </c>
      <c r="H496" s="2" t="s">
        <v>18</v>
      </c>
      <c r="I496" s="2" t="s">
        <v>65</v>
      </c>
      <c r="J496" s="2" t="s">
        <v>34</v>
      </c>
      <c r="K496" s="2" t="s">
        <v>35</v>
      </c>
      <c r="L496">
        <v>2</v>
      </c>
      <c r="M496">
        <v>1362.47</v>
      </c>
      <c r="N496">
        <v>2724.94</v>
      </c>
      <c r="O496" t="s">
        <v>36</v>
      </c>
      <c r="P496" s="2" t="s">
        <v>43</v>
      </c>
      <c r="Q496" s="2" t="s">
        <v>40</v>
      </c>
    </row>
    <row r="497" spans="1:17" hidden="1" x14ac:dyDescent="0.3">
      <c r="A497">
        <v>202400085</v>
      </c>
      <c r="B497" s="1">
        <v>45526</v>
      </c>
      <c r="C497">
        <v>2024</v>
      </c>
      <c r="D497">
        <v>3</v>
      </c>
      <c r="E497">
        <v>8</v>
      </c>
      <c r="F497">
        <v>51</v>
      </c>
      <c r="G497" s="2" t="s">
        <v>132</v>
      </c>
      <c r="H497" s="2" t="s">
        <v>62</v>
      </c>
      <c r="I497" s="2" t="s">
        <v>78</v>
      </c>
      <c r="J497" s="2" t="s">
        <v>75</v>
      </c>
      <c r="K497" s="2" t="s">
        <v>58</v>
      </c>
      <c r="L497">
        <v>9</v>
      </c>
      <c r="M497">
        <v>1695.38</v>
      </c>
      <c r="N497">
        <v>15258.420000000002</v>
      </c>
      <c r="O497" t="s">
        <v>29</v>
      </c>
      <c r="P497" s="2" t="s">
        <v>48</v>
      </c>
      <c r="Q497" s="2" t="s">
        <v>24</v>
      </c>
    </row>
    <row r="498" spans="1:17" hidden="1" x14ac:dyDescent="0.3">
      <c r="A498">
        <v>202400553</v>
      </c>
      <c r="B498" s="1">
        <v>45620</v>
      </c>
      <c r="C498">
        <v>2024</v>
      </c>
      <c r="D498">
        <v>4</v>
      </c>
      <c r="E498">
        <v>11</v>
      </c>
      <c r="F498">
        <v>65</v>
      </c>
      <c r="G498" s="2" t="s">
        <v>112</v>
      </c>
      <c r="H498" s="2" t="s">
        <v>69</v>
      </c>
      <c r="I498" s="2" t="s">
        <v>19</v>
      </c>
      <c r="J498" s="2" t="s">
        <v>20</v>
      </c>
      <c r="K498" s="2" t="s">
        <v>21</v>
      </c>
      <c r="L498">
        <v>8</v>
      </c>
      <c r="M498">
        <v>827.27</v>
      </c>
      <c r="N498">
        <v>6618.16</v>
      </c>
      <c r="O498" t="s">
        <v>29</v>
      </c>
      <c r="P498" s="2" t="s">
        <v>43</v>
      </c>
      <c r="Q498" s="2" t="s">
        <v>24</v>
      </c>
    </row>
    <row r="499" spans="1:17" hidden="1" x14ac:dyDescent="0.3">
      <c r="A499">
        <v>202400083</v>
      </c>
      <c r="B499" s="1">
        <v>45423</v>
      </c>
      <c r="C499">
        <v>2024</v>
      </c>
      <c r="D499">
        <v>2</v>
      </c>
      <c r="E499">
        <v>5</v>
      </c>
      <c r="F499">
        <v>79</v>
      </c>
      <c r="G499" s="2" t="s">
        <v>108</v>
      </c>
      <c r="H499" s="2" t="s">
        <v>69</v>
      </c>
      <c r="I499" s="2" t="s">
        <v>85</v>
      </c>
      <c r="J499" s="2" t="s">
        <v>57</v>
      </c>
      <c r="K499" s="2" t="s">
        <v>35</v>
      </c>
      <c r="L499">
        <v>4</v>
      </c>
      <c r="M499">
        <v>505.64</v>
      </c>
      <c r="N499">
        <v>2022.56</v>
      </c>
      <c r="O499" t="s">
        <v>29</v>
      </c>
      <c r="P499" s="2" t="s">
        <v>30</v>
      </c>
      <c r="Q499" s="2" t="s">
        <v>41</v>
      </c>
    </row>
    <row r="500" spans="1:17" hidden="1" x14ac:dyDescent="0.3">
      <c r="A500">
        <v>202400458</v>
      </c>
      <c r="B500" s="1">
        <v>45636</v>
      </c>
      <c r="C500">
        <v>2024</v>
      </c>
      <c r="D500">
        <v>4</v>
      </c>
      <c r="E500">
        <v>12</v>
      </c>
      <c r="F500">
        <v>73</v>
      </c>
      <c r="G500" s="2" t="s">
        <v>111</v>
      </c>
      <c r="H500" s="2" t="s">
        <v>26</v>
      </c>
      <c r="I500" s="2" t="s">
        <v>27</v>
      </c>
      <c r="J500" s="2" t="s">
        <v>20</v>
      </c>
      <c r="K500" s="2" t="s">
        <v>47</v>
      </c>
      <c r="L500">
        <v>3</v>
      </c>
      <c r="M500">
        <v>1458.45</v>
      </c>
      <c r="N500">
        <v>4375.3500000000004</v>
      </c>
      <c r="O500" t="s">
        <v>29</v>
      </c>
      <c r="P500" s="2" t="s">
        <v>43</v>
      </c>
      <c r="Q500" s="2" t="s">
        <v>31</v>
      </c>
    </row>
    <row r="501" spans="1:17" hidden="1" x14ac:dyDescent="0.3">
      <c r="A501">
        <v>202400754</v>
      </c>
      <c r="B501" s="1">
        <v>45426</v>
      </c>
      <c r="C501">
        <v>2024</v>
      </c>
      <c r="D501">
        <v>2</v>
      </c>
      <c r="E501">
        <v>5</v>
      </c>
      <c r="F501">
        <v>3</v>
      </c>
      <c r="G501" s="2" t="s">
        <v>44</v>
      </c>
      <c r="H501" s="2" t="s">
        <v>26</v>
      </c>
      <c r="I501" s="2" t="s">
        <v>38</v>
      </c>
      <c r="J501" s="2" t="s">
        <v>20</v>
      </c>
      <c r="K501" s="2" t="s">
        <v>71</v>
      </c>
      <c r="L501">
        <v>4</v>
      </c>
      <c r="M501">
        <v>668.33</v>
      </c>
      <c r="N501">
        <v>2673.32</v>
      </c>
      <c r="O501" t="s">
        <v>29</v>
      </c>
      <c r="P501" s="2" t="s">
        <v>23</v>
      </c>
      <c r="Q501" s="2" t="s">
        <v>24</v>
      </c>
    </row>
    <row r="502" spans="1:17" x14ac:dyDescent="0.3">
      <c r="A502">
        <v>202400437</v>
      </c>
      <c r="B502" s="1">
        <v>45376</v>
      </c>
      <c r="C502">
        <v>2024</v>
      </c>
      <c r="D502">
        <v>1</v>
      </c>
      <c r="E502">
        <v>3</v>
      </c>
      <c r="F502">
        <v>44</v>
      </c>
      <c r="G502" s="2" t="s">
        <v>129</v>
      </c>
      <c r="H502" s="2" t="s">
        <v>140</v>
      </c>
      <c r="I502" s="2" t="s">
        <v>27</v>
      </c>
      <c r="J502" s="2" t="s">
        <v>20</v>
      </c>
      <c r="K502" s="2" t="s">
        <v>21</v>
      </c>
      <c r="L502">
        <v>13</v>
      </c>
      <c r="M502">
        <v>741.74</v>
      </c>
      <c r="N502">
        <v>9642.6200000000008</v>
      </c>
      <c r="O502" t="s">
        <v>22</v>
      </c>
      <c r="P502" s="2" t="s">
        <v>30</v>
      </c>
      <c r="Q502" s="2" t="s">
        <v>24</v>
      </c>
    </row>
    <row r="503" spans="1:17" hidden="1" x14ac:dyDescent="0.3">
      <c r="A503">
        <v>202401109</v>
      </c>
      <c r="B503" s="1">
        <v>45583</v>
      </c>
      <c r="C503">
        <v>2024</v>
      </c>
      <c r="D503">
        <v>4</v>
      </c>
      <c r="E503">
        <v>10</v>
      </c>
      <c r="F503">
        <v>72</v>
      </c>
      <c r="G503" s="2" t="s">
        <v>100</v>
      </c>
      <c r="H503" s="2" t="s">
        <v>140</v>
      </c>
      <c r="I503" s="2" t="s">
        <v>33</v>
      </c>
      <c r="J503" s="2" t="s">
        <v>34</v>
      </c>
      <c r="K503" s="2" t="s">
        <v>70</v>
      </c>
      <c r="L503">
        <v>3</v>
      </c>
      <c r="M503">
        <v>267.02</v>
      </c>
      <c r="N503">
        <v>801.06</v>
      </c>
      <c r="O503" t="s">
        <v>29</v>
      </c>
      <c r="P503" s="2" t="s">
        <v>30</v>
      </c>
      <c r="Q503" s="2" t="s">
        <v>31</v>
      </c>
    </row>
    <row r="504" spans="1:17" hidden="1" x14ac:dyDescent="0.3">
      <c r="A504">
        <v>202400911</v>
      </c>
      <c r="B504" s="1">
        <v>45537</v>
      </c>
      <c r="C504">
        <v>2024</v>
      </c>
      <c r="D504">
        <v>3</v>
      </c>
      <c r="E504">
        <v>9</v>
      </c>
      <c r="F504">
        <v>77</v>
      </c>
      <c r="G504" s="2" t="s">
        <v>109</v>
      </c>
      <c r="H504" s="2" t="s">
        <v>140</v>
      </c>
      <c r="I504" s="2" t="s">
        <v>74</v>
      </c>
      <c r="J504" s="2" t="s">
        <v>75</v>
      </c>
      <c r="K504" s="2" t="s">
        <v>39</v>
      </c>
      <c r="L504">
        <v>0</v>
      </c>
      <c r="M504">
        <v>1360.75</v>
      </c>
      <c r="N504">
        <v>0</v>
      </c>
      <c r="O504" t="s">
        <v>36</v>
      </c>
      <c r="P504" s="2" t="s">
        <v>48</v>
      </c>
      <c r="Q504" s="2" t="s">
        <v>49</v>
      </c>
    </row>
    <row r="505" spans="1:17" hidden="1" x14ac:dyDescent="0.3">
      <c r="A505">
        <v>202400405</v>
      </c>
      <c r="B505" s="1">
        <v>45566</v>
      </c>
      <c r="C505">
        <v>2024</v>
      </c>
      <c r="D505">
        <v>4</v>
      </c>
      <c r="E505">
        <v>10</v>
      </c>
      <c r="F505">
        <v>17</v>
      </c>
      <c r="G505" s="2" t="s">
        <v>77</v>
      </c>
      <c r="H505" s="2" t="s">
        <v>69</v>
      </c>
      <c r="I505" s="2" t="s">
        <v>78</v>
      </c>
      <c r="J505" s="2" t="s">
        <v>75</v>
      </c>
      <c r="K505" s="2" t="s">
        <v>28</v>
      </c>
      <c r="L505">
        <v>12</v>
      </c>
      <c r="M505">
        <v>96.14</v>
      </c>
      <c r="N505">
        <v>1153.68</v>
      </c>
      <c r="O505" t="s">
        <v>22</v>
      </c>
      <c r="P505" s="2" t="s">
        <v>30</v>
      </c>
      <c r="Q505" s="2" t="s">
        <v>41</v>
      </c>
    </row>
    <row r="506" spans="1:17" hidden="1" x14ac:dyDescent="0.3">
      <c r="A506">
        <v>202401056</v>
      </c>
      <c r="B506" s="1">
        <v>45600</v>
      </c>
      <c r="C506">
        <v>2024</v>
      </c>
      <c r="D506">
        <v>4</v>
      </c>
      <c r="E506">
        <v>11</v>
      </c>
      <c r="F506">
        <v>4</v>
      </c>
      <c r="G506" s="2" t="s">
        <v>110</v>
      </c>
      <c r="H506" s="2" t="s">
        <v>69</v>
      </c>
      <c r="I506" s="2" t="s">
        <v>78</v>
      </c>
      <c r="J506" s="2" t="s">
        <v>75</v>
      </c>
      <c r="K506" s="2" t="s">
        <v>97</v>
      </c>
      <c r="L506">
        <v>11</v>
      </c>
      <c r="M506">
        <v>1517.8</v>
      </c>
      <c r="N506">
        <v>16695.8</v>
      </c>
      <c r="O506" t="s">
        <v>22</v>
      </c>
      <c r="P506" s="2" t="s">
        <v>43</v>
      </c>
      <c r="Q506" s="2" t="s">
        <v>41</v>
      </c>
    </row>
    <row r="507" spans="1:17" x14ac:dyDescent="0.3">
      <c r="A507">
        <v>202400623</v>
      </c>
      <c r="B507" s="1">
        <v>45380</v>
      </c>
      <c r="C507">
        <v>2024</v>
      </c>
      <c r="D507">
        <v>1</v>
      </c>
      <c r="E507">
        <v>3</v>
      </c>
      <c r="F507">
        <v>32</v>
      </c>
      <c r="G507" s="2" t="s">
        <v>93</v>
      </c>
      <c r="H507" s="2" t="s">
        <v>26</v>
      </c>
      <c r="I507" s="2" t="s">
        <v>65</v>
      </c>
      <c r="J507" s="2" t="s">
        <v>34</v>
      </c>
      <c r="K507" s="2" t="s">
        <v>28</v>
      </c>
      <c r="L507">
        <v>3</v>
      </c>
      <c r="M507">
        <v>480.22</v>
      </c>
      <c r="N507">
        <v>1440.66</v>
      </c>
      <c r="O507" t="s">
        <v>29</v>
      </c>
      <c r="P507" s="2" t="s">
        <v>48</v>
      </c>
      <c r="Q507" s="2" t="s">
        <v>31</v>
      </c>
    </row>
    <row r="508" spans="1:17" hidden="1" x14ac:dyDescent="0.3">
      <c r="A508">
        <v>202401174</v>
      </c>
      <c r="B508" s="1">
        <v>45424</v>
      </c>
      <c r="C508">
        <v>2024</v>
      </c>
      <c r="D508">
        <v>2</v>
      </c>
      <c r="E508">
        <v>5</v>
      </c>
      <c r="F508">
        <v>80</v>
      </c>
      <c r="G508" s="2" t="s">
        <v>76</v>
      </c>
      <c r="H508" s="2" t="s">
        <v>26</v>
      </c>
      <c r="I508" s="2" t="s">
        <v>54</v>
      </c>
      <c r="J508" s="2" t="s">
        <v>20</v>
      </c>
      <c r="K508" s="2" t="s">
        <v>50</v>
      </c>
      <c r="L508">
        <v>3</v>
      </c>
      <c r="M508">
        <v>1061.55</v>
      </c>
      <c r="N508">
        <v>3184.6499999999996</v>
      </c>
      <c r="O508" t="s">
        <v>29</v>
      </c>
      <c r="P508" s="2" t="s">
        <v>43</v>
      </c>
      <c r="Q508" s="2" t="s">
        <v>40</v>
      </c>
    </row>
    <row r="509" spans="1:17" hidden="1" x14ac:dyDescent="0.3">
      <c r="A509">
        <v>202400105</v>
      </c>
      <c r="B509" s="1">
        <v>45603</v>
      </c>
      <c r="C509">
        <v>2024</v>
      </c>
      <c r="D509">
        <v>4</v>
      </c>
      <c r="E509">
        <v>11</v>
      </c>
      <c r="F509">
        <v>27</v>
      </c>
      <c r="G509" s="2" t="s">
        <v>83</v>
      </c>
      <c r="H509" s="2" t="s">
        <v>18</v>
      </c>
      <c r="I509" s="2" t="s">
        <v>74</v>
      </c>
      <c r="J509" s="2" t="s">
        <v>75</v>
      </c>
      <c r="K509" s="2" t="s">
        <v>51</v>
      </c>
      <c r="L509">
        <v>1</v>
      </c>
      <c r="M509">
        <v>337.7</v>
      </c>
      <c r="N509">
        <v>337.7</v>
      </c>
      <c r="O509" t="s">
        <v>36</v>
      </c>
      <c r="P509" s="2" t="s">
        <v>48</v>
      </c>
      <c r="Q509" s="2" t="s">
        <v>41</v>
      </c>
    </row>
    <row r="510" spans="1:17" x14ac:dyDescent="0.3">
      <c r="A510">
        <v>202400760</v>
      </c>
      <c r="B510" s="1">
        <v>45347</v>
      </c>
      <c r="C510">
        <v>2024</v>
      </c>
      <c r="D510">
        <v>1</v>
      </c>
      <c r="E510">
        <v>2</v>
      </c>
      <c r="F510">
        <v>76</v>
      </c>
      <c r="G510" s="2" t="s">
        <v>104</v>
      </c>
      <c r="H510" s="2" t="s">
        <v>140</v>
      </c>
      <c r="I510" s="2" t="s">
        <v>33</v>
      </c>
      <c r="J510" s="2" t="s">
        <v>34</v>
      </c>
      <c r="K510" s="2" t="s">
        <v>42</v>
      </c>
      <c r="L510">
        <v>10</v>
      </c>
      <c r="M510">
        <v>731.33</v>
      </c>
      <c r="N510">
        <v>7313.3</v>
      </c>
      <c r="O510" t="s">
        <v>22</v>
      </c>
      <c r="P510" s="2" t="s">
        <v>48</v>
      </c>
      <c r="Q510" s="2" t="s">
        <v>24</v>
      </c>
    </row>
    <row r="511" spans="1:17" x14ac:dyDescent="0.3">
      <c r="A511">
        <v>202400621</v>
      </c>
      <c r="B511" s="1">
        <v>45308</v>
      </c>
      <c r="C511">
        <v>2024</v>
      </c>
      <c r="D511">
        <v>1</v>
      </c>
      <c r="E511">
        <v>1</v>
      </c>
      <c r="F511">
        <v>40</v>
      </c>
      <c r="G511" s="2" t="s">
        <v>125</v>
      </c>
      <c r="H511" s="2" t="s">
        <v>69</v>
      </c>
      <c r="I511" s="2" t="s">
        <v>126</v>
      </c>
      <c r="J511" s="2" t="s">
        <v>20</v>
      </c>
      <c r="K511" s="2" t="s">
        <v>28</v>
      </c>
      <c r="L511">
        <v>2</v>
      </c>
      <c r="M511">
        <v>1578.29</v>
      </c>
      <c r="N511">
        <v>3156.58</v>
      </c>
      <c r="O511" t="s">
        <v>36</v>
      </c>
      <c r="P511" s="2" t="s">
        <v>43</v>
      </c>
      <c r="Q511" s="2" t="s">
        <v>24</v>
      </c>
    </row>
    <row r="512" spans="1:17" hidden="1" x14ac:dyDescent="0.3">
      <c r="A512">
        <v>202400063</v>
      </c>
      <c r="B512" s="1">
        <v>45410</v>
      </c>
      <c r="C512">
        <v>2024</v>
      </c>
      <c r="D512">
        <v>2</v>
      </c>
      <c r="E512">
        <v>4</v>
      </c>
      <c r="F512">
        <v>2</v>
      </c>
      <c r="G512" s="2" t="s">
        <v>32</v>
      </c>
      <c r="H512" s="2" t="s">
        <v>140</v>
      </c>
      <c r="I512" s="2" t="s">
        <v>33</v>
      </c>
      <c r="J512" s="2" t="s">
        <v>34</v>
      </c>
      <c r="K512" s="2" t="s">
        <v>42</v>
      </c>
      <c r="L512">
        <v>8</v>
      </c>
      <c r="M512">
        <v>1126.1500000000001</v>
      </c>
      <c r="N512">
        <v>9009.2000000000007</v>
      </c>
      <c r="O512" t="s">
        <v>29</v>
      </c>
      <c r="P512" s="2" t="s">
        <v>43</v>
      </c>
      <c r="Q512" s="2" t="s">
        <v>41</v>
      </c>
    </row>
    <row r="513" spans="1:17" hidden="1" x14ac:dyDescent="0.3">
      <c r="A513">
        <v>202400282</v>
      </c>
      <c r="B513" s="1">
        <v>45638</v>
      </c>
      <c r="C513">
        <v>2024</v>
      </c>
      <c r="D513">
        <v>4</v>
      </c>
      <c r="E513">
        <v>12</v>
      </c>
      <c r="F513">
        <v>9</v>
      </c>
      <c r="G513" s="2" t="s">
        <v>44</v>
      </c>
      <c r="H513" s="2" t="s">
        <v>62</v>
      </c>
      <c r="I513" s="2" t="s">
        <v>78</v>
      </c>
      <c r="J513" s="2" t="s">
        <v>75</v>
      </c>
      <c r="K513" s="2" t="s">
        <v>58</v>
      </c>
      <c r="L513">
        <v>6</v>
      </c>
      <c r="M513">
        <v>692.31</v>
      </c>
      <c r="N513">
        <v>4153.8599999999997</v>
      </c>
      <c r="O513" t="s">
        <v>29</v>
      </c>
      <c r="P513" s="2" t="s">
        <v>43</v>
      </c>
      <c r="Q513" s="2" t="s">
        <v>24</v>
      </c>
    </row>
    <row r="514" spans="1:17" hidden="1" x14ac:dyDescent="0.3">
      <c r="A514">
        <v>202400679</v>
      </c>
      <c r="B514" s="1">
        <v>45628</v>
      </c>
      <c r="C514">
        <v>2024</v>
      </c>
      <c r="D514">
        <v>4</v>
      </c>
      <c r="E514">
        <v>12</v>
      </c>
      <c r="F514">
        <v>9</v>
      </c>
      <c r="G514" s="2" t="s">
        <v>44</v>
      </c>
      <c r="H514" s="2" t="s">
        <v>62</v>
      </c>
      <c r="I514" s="2" t="s">
        <v>78</v>
      </c>
      <c r="J514" s="2" t="s">
        <v>75</v>
      </c>
      <c r="K514" s="2" t="s">
        <v>39</v>
      </c>
      <c r="L514">
        <v>2</v>
      </c>
      <c r="M514">
        <v>665.66</v>
      </c>
      <c r="N514">
        <v>1331.32</v>
      </c>
      <c r="O514" t="s">
        <v>36</v>
      </c>
      <c r="P514" s="2" t="s">
        <v>43</v>
      </c>
      <c r="Q514" s="2" t="s">
        <v>24</v>
      </c>
    </row>
    <row r="515" spans="1:17" hidden="1" x14ac:dyDescent="0.3">
      <c r="A515">
        <v>202400239</v>
      </c>
      <c r="B515" s="1">
        <v>45575</v>
      </c>
      <c r="C515">
        <v>2024</v>
      </c>
      <c r="D515">
        <v>4</v>
      </c>
      <c r="E515">
        <v>10</v>
      </c>
      <c r="F515">
        <v>74</v>
      </c>
      <c r="G515" s="2" t="s">
        <v>102</v>
      </c>
      <c r="H515" s="2" t="s">
        <v>140</v>
      </c>
      <c r="I515" s="2" t="s">
        <v>27</v>
      </c>
      <c r="J515" s="2" t="s">
        <v>20</v>
      </c>
      <c r="K515" s="2" t="s">
        <v>21</v>
      </c>
      <c r="L515">
        <v>10</v>
      </c>
      <c r="M515">
        <v>573.91</v>
      </c>
      <c r="N515">
        <v>5739.0999999999995</v>
      </c>
      <c r="O515" t="s">
        <v>22</v>
      </c>
      <c r="P515" s="2" t="s">
        <v>48</v>
      </c>
      <c r="Q515" s="2" t="s">
        <v>24</v>
      </c>
    </row>
    <row r="516" spans="1:17" hidden="1" x14ac:dyDescent="0.3">
      <c r="A516">
        <v>202400224</v>
      </c>
      <c r="B516" s="1">
        <v>45423</v>
      </c>
      <c r="C516">
        <v>2024</v>
      </c>
      <c r="D516">
        <v>2</v>
      </c>
      <c r="E516">
        <v>5</v>
      </c>
      <c r="F516">
        <v>3</v>
      </c>
      <c r="G516" s="2" t="s">
        <v>44</v>
      </c>
      <c r="H516" s="2" t="s">
        <v>26</v>
      </c>
      <c r="I516" s="2" t="s">
        <v>38</v>
      </c>
      <c r="J516" s="2" t="s">
        <v>20</v>
      </c>
      <c r="K516" s="2" t="s">
        <v>42</v>
      </c>
      <c r="L516">
        <v>11</v>
      </c>
      <c r="M516">
        <v>1513.81</v>
      </c>
      <c r="N516">
        <v>16651.91</v>
      </c>
      <c r="O516" t="s">
        <v>22</v>
      </c>
      <c r="P516" s="2" t="s">
        <v>30</v>
      </c>
      <c r="Q516" s="2" t="s">
        <v>24</v>
      </c>
    </row>
    <row r="517" spans="1:17" x14ac:dyDescent="0.3">
      <c r="A517">
        <v>202400146</v>
      </c>
      <c r="B517" s="1">
        <v>45312</v>
      </c>
      <c r="C517">
        <v>2024</v>
      </c>
      <c r="D517">
        <v>1</v>
      </c>
      <c r="E517">
        <v>1</v>
      </c>
      <c r="F517">
        <v>50</v>
      </c>
      <c r="G517" s="2" t="s">
        <v>37</v>
      </c>
      <c r="H517" s="2" t="s">
        <v>62</v>
      </c>
      <c r="I517" s="2" t="s">
        <v>38</v>
      </c>
      <c r="J517" s="2" t="s">
        <v>20</v>
      </c>
      <c r="K517" s="2" t="s">
        <v>42</v>
      </c>
      <c r="L517">
        <v>5</v>
      </c>
      <c r="M517">
        <v>283.64</v>
      </c>
      <c r="N517">
        <v>1418.1999999999998</v>
      </c>
      <c r="O517" t="s">
        <v>29</v>
      </c>
      <c r="P517" s="2" t="s">
        <v>30</v>
      </c>
      <c r="Q517" s="2" t="s">
        <v>24</v>
      </c>
    </row>
    <row r="518" spans="1:17" x14ac:dyDescent="0.3">
      <c r="A518">
        <v>202401154</v>
      </c>
      <c r="B518" s="1">
        <v>45380</v>
      </c>
      <c r="C518">
        <v>2024</v>
      </c>
      <c r="D518">
        <v>1</v>
      </c>
      <c r="E518">
        <v>3</v>
      </c>
      <c r="F518">
        <v>67</v>
      </c>
      <c r="G518" s="2" t="s">
        <v>124</v>
      </c>
      <c r="H518" s="2" t="s">
        <v>69</v>
      </c>
      <c r="I518" s="2" t="s">
        <v>54</v>
      </c>
      <c r="J518" s="2" t="s">
        <v>20</v>
      </c>
      <c r="K518" s="2" t="s">
        <v>51</v>
      </c>
      <c r="L518">
        <v>13</v>
      </c>
      <c r="M518">
        <v>1059.18</v>
      </c>
      <c r="N518">
        <v>13769.34</v>
      </c>
      <c r="O518" t="s">
        <v>22</v>
      </c>
      <c r="P518" s="2" t="s">
        <v>43</v>
      </c>
      <c r="Q518" s="2" t="s">
        <v>24</v>
      </c>
    </row>
    <row r="519" spans="1:17" hidden="1" x14ac:dyDescent="0.3">
      <c r="A519">
        <v>202400374</v>
      </c>
      <c r="B519" s="1">
        <v>45526</v>
      </c>
      <c r="C519">
        <v>2024</v>
      </c>
      <c r="D519">
        <v>3</v>
      </c>
      <c r="E519">
        <v>8</v>
      </c>
      <c r="F519">
        <v>51</v>
      </c>
      <c r="G519" s="2" t="s">
        <v>132</v>
      </c>
      <c r="H519" s="2" t="s">
        <v>62</v>
      </c>
      <c r="I519" s="2" t="s">
        <v>78</v>
      </c>
      <c r="J519" s="2" t="s">
        <v>75</v>
      </c>
      <c r="K519" s="2" t="s">
        <v>21</v>
      </c>
      <c r="L519">
        <v>12</v>
      </c>
      <c r="M519">
        <v>1750.41</v>
      </c>
      <c r="N519">
        <v>21004.920000000002</v>
      </c>
      <c r="O519" t="s">
        <v>22</v>
      </c>
      <c r="P519" s="2" t="s">
        <v>43</v>
      </c>
      <c r="Q519" s="2" t="s">
        <v>24</v>
      </c>
    </row>
    <row r="520" spans="1:17" hidden="1" x14ac:dyDescent="0.3">
      <c r="A520">
        <v>202400119</v>
      </c>
      <c r="B520" s="1">
        <v>45475</v>
      </c>
      <c r="C520">
        <v>2024</v>
      </c>
      <c r="D520">
        <v>3</v>
      </c>
      <c r="E520">
        <v>7</v>
      </c>
      <c r="F520">
        <v>80</v>
      </c>
      <c r="G520" s="2" t="s">
        <v>76</v>
      </c>
      <c r="H520" s="2" t="s">
        <v>26</v>
      </c>
      <c r="I520" s="2" t="s">
        <v>54</v>
      </c>
      <c r="J520" s="2" t="s">
        <v>20</v>
      </c>
      <c r="K520" s="2" t="s">
        <v>21</v>
      </c>
      <c r="L520">
        <v>13</v>
      </c>
      <c r="M520">
        <v>1688.72</v>
      </c>
      <c r="N520">
        <v>21953.360000000001</v>
      </c>
      <c r="O520" t="s">
        <v>22</v>
      </c>
      <c r="P520" s="2" t="s">
        <v>43</v>
      </c>
      <c r="Q520" s="2" t="s">
        <v>41</v>
      </c>
    </row>
    <row r="521" spans="1:17" x14ac:dyDescent="0.3">
      <c r="A521">
        <v>202400821</v>
      </c>
      <c r="B521" s="1">
        <v>45323</v>
      </c>
      <c r="C521">
        <v>2024</v>
      </c>
      <c r="D521">
        <v>1</v>
      </c>
      <c r="E521">
        <v>2</v>
      </c>
      <c r="F521">
        <v>53</v>
      </c>
      <c r="G521" s="2" t="s">
        <v>113</v>
      </c>
      <c r="H521" s="2" t="s">
        <v>26</v>
      </c>
      <c r="I521" s="2" t="s">
        <v>27</v>
      </c>
      <c r="J521" s="2" t="s">
        <v>20</v>
      </c>
      <c r="K521" s="2" t="s">
        <v>42</v>
      </c>
      <c r="L521">
        <v>10</v>
      </c>
      <c r="M521">
        <v>1414.67</v>
      </c>
      <c r="N521">
        <v>14146.7</v>
      </c>
      <c r="O521" t="s">
        <v>22</v>
      </c>
      <c r="P521" s="2" t="s">
        <v>43</v>
      </c>
      <c r="Q521" s="2" t="s">
        <v>24</v>
      </c>
    </row>
    <row r="522" spans="1:17" hidden="1" x14ac:dyDescent="0.3">
      <c r="A522">
        <v>202400251</v>
      </c>
      <c r="B522" s="1">
        <v>45610</v>
      </c>
      <c r="C522">
        <v>2024</v>
      </c>
      <c r="D522">
        <v>4</v>
      </c>
      <c r="E522">
        <v>11</v>
      </c>
      <c r="F522">
        <v>75</v>
      </c>
      <c r="G522" s="2" t="s">
        <v>84</v>
      </c>
      <c r="H522" s="2" t="s">
        <v>62</v>
      </c>
      <c r="I522" s="2" t="s">
        <v>85</v>
      </c>
      <c r="J522" s="2" t="s">
        <v>57</v>
      </c>
      <c r="K522" s="2" t="s">
        <v>39</v>
      </c>
      <c r="L522">
        <v>7</v>
      </c>
      <c r="M522">
        <v>1323.31</v>
      </c>
      <c r="N522">
        <v>9263.17</v>
      </c>
      <c r="O522" t="s">
        <v>29</v>
      </c>
      <c r="P522" s="2" t="s">
        <v>30</v>
      </c>
      <c r="Q522" s="2" t="s">
        <v>24</v>
      </c>
    </row>
    <row r="523" spans="1:17" hidden="1" x14ac:dyDescent="0.3">
      <c r="A523">
        <v>202401168</v>
      </c>
      <c r="B523" s="1">
        <v>45421</v>
      </c>
      <c r="C523">
        <v>2024</v>
      </c>
      <c r="D523">
        <v>2</v>
      </c>
      <c r="E523">
        <v>5</v>
      </c>
      <c r="F523">
        <v>8</v>
      </c>
      <c r="G523" s="2" t="s">
        <v>63</v>
      </c>
      <c r="H523" s="2" t="s">
        <v>26</v>
      </c>
      <c r="I523" s="2" t="s">
        <v>54</v>
      </c>
      <c r="J523" s="2" t="s">
        <v>20</v>
      </c>
      <c r="K523" s="2" t="s">
        <v>59</v>
      </c>
      <c r="L523">
        <v>5</v>
      </c>
      <c r="M523">
        <v>563.73</v>
      </c>
      <c r="N523">
        <v>2818.65</v>
      </c>
      <c r="O523" t="s">
        <v>29</v>
      </c>
      <c r="P523" s="2" t="s">
        <v>30</v>
      </c>
      <c r="Q523" s="2" t="s">
        <v>40</v>
      </c>
    </row>
    <row r="524" spans="1:17" hidden="1" x14ac:dyDescent="0.3">
      <c r="A524">
        <v>202400450</v>
      </c>
      <c r="B524" s="1">
        <v>45535</v>
      </c>
      <c r="C524">
        <v>2024</v>
      </c>
      <c r="D524">
        <v>3</v>
      </c>
      <c r="E524">
        <v>8</v>
      </c>
      <c r="F524">
        <v>30</v>
      </c>
      <c r="G524" s="2" t="s">
        <v>91</v>
      </c>
      <c r="H524" s="2" t="s">
        <v>69</v>
      </c>
      <c r="I524" s="2" t="s">
        <v>65</v>
      </c>
      <c r="J524" s="2" t="s">
        <v>34</v>
      </c>
      <c r="K524" s="2" t="s">
        <v>39</v>
      </c>
      <c r="L524">
        <v>11</v>
      </c>
      <c r="M524">
        <v>653.25</v>
      </c>
      <c r="N524">
        <v>7185.75</v>
      </c>
      <c r="O524" t="s">
        <v>22</v>
      </c>
      <c r="P524" s="2" t="s">
        <v>43</v>
      </c>
      <c r="Q524" s="2" t="s">
        <v>24</v>
      </c>
    </row>
    <row r="525" spans="1:17" hidden="1" x14ac:dyDescent="0.3">
      <c r="A525">
        <v>202400894</v>
      </c>
      <c r="B525" s="1">
        <v>45418</v>
      </c>
      <c r="C525">
        <v>2024</v>
      </c>
      <c r="D525">
        <v>2</v>
      </c>
      <c r="E525">
        <v>5</v>
      </c>
      <c r="F525">
        <v>11</v>
      </c>
      <c r="G525" s="2" t="s">
        <v>66</v>
      </c>
      <c r="H525" s="2" t="s">
        <v>18</v>
      </c>
      <c r="I525" s="2" t="s">
        <v>67</v>
      </c>
      <c r="J525" s="2" t="s">
        <v>20</v>
      </c>
      <c r="K525" s="2" t="s">
        <v>71</v>
      </c>
      <c r="L525">
        <v>0</v>
      </c>
      <c r="M525">
        <v>346.02</v>
      </c>
      <c r="N525">
        <v>0</v>
      </c>
      <c r="O525" t="s">
        <v>36</v>
      </c>
      <c r="P525" s="2" t="s">
        <v>48</v>
      </c>
      <c r="Q525" s="2" t="s">
        <v>24</v>
      </c>
    </row>
    <row r="526" spans="1:17" hidden="1" x14ac:dyDescent="0.3">
      <c r="A526">
        <v>202400390</v>
      </c>
      <c r="B526" s="1">
        <v>45516</v>
      </c>
      <c r="C526">
        <v>2024</v>
      </c>
      <c r="D526">
        <v>3</v>
      </c>
      <c r="E526">
        <v>8</v>
      </c>
      <c r="F526">
        <v>11</v>
      </c>
      <c r="G526" s="2" t="s">
        <v>66</v>
      </c>
      <c r="H526" s="2" t="s">
        <v>18</v>
      </c>
      <c r="I526" s="2" t="s">
        <v>67</v>
      </c>
      <c r="J526" s="2" t="s">
        <v>20</v>
      </c>
      <c r="K526" s="2" t="s">
        <v>59</v>
      </c>
      <c r="L526">
        <v>14</v>
      </c>
      <c r="M526">
        <v>705.37</v>
      </c>
      <c r="N526">
        <v>9875.18</v>
      </c>
      <c r="O526" t="s">
        <v>22</v>
      </c>
      <c r="P526" s="2" t="s">
        <v>30</v>
      </c>
      <c r="Q526" s="2" t="s">
        <v>24</v>
      </c>
    </row>
    <row r="527" spans="1:17" x14ac:dyDescent="0.3">
      <c r="A527">
        <v>202401076</v>
      </c>
      <c r="B527" s="1">
        <v>45373</v>
      </c>
      <c r="C527">
        <v>2024</v>
      </c>
      <c r="D527">
        <v>1</v>
      </c>
      <c r="E527">
        <v>3</v>
      </c>
      <c r="F527">
        <v>37</v>
      </c>
      <c r="G527" s="2" t="s">
        <v>96</v>
      </c>
      <c r="H527" s="2" t="s">
        <v>62</v>
      </c>
      <c r="I527" s="2" t="s">
        <v>56</v>
      </c>
      <c r="J527" s="2" t="s">
        <v>57</v>
      </c>
      <c r="K527" s="2" t="s">
        <v>60</v>
      </c>
      <c r="L527">
        <v>7</v>
      </c>
      <c r="M527">
        <v>33.61</v>
      </c>
      <c r="N527">
        <v>235.26999999999998</v>
      </c>
      <c r="O527" t="s">
        <v>29</v>
      </c>
      <c r="P527" s="2" t="s">
        <v>43</v>
      </c>
      <c r="Q527" s="2" t="s">
        <v>24</v>
      </c>
    </row>
    <row r="528" spans="1:17" hidden="1" x14ac:dyDescent="0.3">
      <c r="A528">
        <v>202400922</v>
      </c>
      <c r="B528" s="1">
        <v>45526</v>
      </c>
      <c r="C528">
        <v>2024</v>
      </c>
      <c r="D528">
        <v>3</v>
      </c>
      <c r="E528">
        <v>8</v>
      </c>
      <c r="F528">
        <v>61</v>
      </c>
      <c r="G528" s="2" t="s">
        <v>90</v>
      </c>
      <c r="H528" s="2" t="s">
        <v>69</v>
      </c>
      <c r="I528" s="2" t="s">
        <v>65</v>
      </c>
      <c r="J528" s="2" t="s">
        <v>34</v>
      </c>
      <c r="K528" s="2" t="s">
        <v>50</v>
      </c>
      <c r="L528">
        <v>3</v>
      </c>
      <c r="M528">
        <v>1054.98</v>
      </c>
      <c r="N528">
        <v>3164.94</v>
      </c>
      <c r="O528" t="s">
        <v>29</v>
      </c>
      <c r="P528" s="2" t="s">
        <v>43</v>
      </c>
      <c r="Q528" s="2" t="s">
        <v>24</v>
      </c>
    </row>
    <row r="529" spans="1:17" hidden="1" x14ac:dyDescent="0.3">
      <c r="A529">
        <v>202400461</v>
      </c>
      <c r="B529" s="1">
        <v>45449</v>
      </c>
      <c r="C529">
        <v>2024</v>
      </c>
      <c r="D529">
        <v>2</v>
      </c>
      <c r="E529">
        <v>6</v>
      </c>
      <c r="F529">
        <v>80</v>
      </c>
      <c r="G529" s="2" t="s">
        <v>76</v>
      </c>
      <c r="H529" s="2" t="s">
        <v>26</v>
      </c>
      <c r="I529" s="2" t="s">
        <v>54</v>
      </c>
      <c r="J529" s="2" t="s">
        <v>20</v>
      </c>
      <c r="K529" s="2" t="s">
        <v>51</v>
      </c>
      <c r="L529">
        <v>12</v>
      </c>
      <c r="M529">
        <v>316.02</v>
      </c>
      <c r="N529">
        <v>3792.24</v>
      </c>
      <c r="O529" t="s">
        <v>22</v>
      </c>
      <c r="P529" s="2" t="s">
        <v>43</v>
      </c>
      <c r="Q529" s="2" t="s">
        <v>40</v>
      </c>
    </row>
    <row r="530" spans="1:17" hidden="1" x14ac:dyDescent="0.3">
      <c r="A530">
        <v>202401116</v>
      </c>
      <c r="B530" s="1">
        <v>45577</v>
      </c>
      <c r="C530">
        <v>2024</v>
      </c>
      <c r="D530">
        <v>4</v>
      </c>
      <c r="E530">
        <v>10</v>
      </c>
      <c r="F530">
        <v>2</v>
      </c>
      <c r="G530" s="2" t="s">
        <v>32</v>
      </c>
      <c r="H530" s="2" t="s">
        <v>140</v>
      </c>
      <c r="I530" s="2" t="s">
        <v>33</v>
      </c>
      <c r="J530" s="2" t="s">
        <v>34</v>
      </c>
      <c r="K530" s="2" t="s">
        <v>71</v>
      </c>
      <c r="L530">
        <v>6</v>
      </c>
      <c r="M530">
        <v>59.67</v>
      </c>
      <c r="N530">
        <v>358.02</v>
      </c>
      <c r="O530" t="s">
        <v>29</v>
      </c>
      <c r="P530" s="2" t="s">
        <v>48</v>
      </c>
      <c r="Q530" s="2" t="s">
        <v>41</v>
      </c>
    </row>
    <row r="531" spans="1:17" x14ac:dyDescent="0.3">
      <c r="A531">
        <v>202400145</v>
      </c>
      <c r="B531" s="1">
        <v>45329</v>
      </c>
      <c r="C531">
        <v>2024</v>
      </c>
      <c r="D531">
        <v>1</v>
      </c>
      <c r="E531">
        <v>2</v>
      </c>
      <c r="F531">
        <v>71</v>
      </c>
      <c r="G531" s="2" t="s">
        <v>80</v>
      </c>
      <c r="H531" s="2" t="s">
        <v>18</v>
      </c>
      <c r="I531" s="2" t="s">
        <v>65</v>
      </c>
      <c r="J531" s="2" t="s">
        <v>34</v>
      </c>
      <c r="K531" s="2" t="s">
        <v>59</v>
      </c>
      <c r="L531">
        <v>14</v>
      </c>
      <c r="M531">
        <v>685.54</v>
      </c>
      <c r="N531">
        <v>9597.56</v>
      </c>
      <c r="O531" t="s">
        <v>22</v>
      </c>
      <c r="P531" s="2" t="s">
        <v>43</v>
      </c>
      <c r="Q531" s="2" t="s">
        <v>24</v>
      </c>
    </row>
    <row r="532" spans="1:17" hidden="1" x14ac:dyDescent="0.3">
      <c r="A532">
        <v>202400502</v>
      </c>
      <c r="B532" s="1">
        <v>45487</v>
      </c>
      <c r="C532">
        <v>2024</v>
      </c>
      <c r="D532">
        <v>3</v>
      </c>
      <c r="E532">
        <v>7</v>
      </c>
      <c r="F532">
        <v>40</v>
      </c>
      <c r="G532" s="2" t="s">
        <v>125</v>
      </c>
      <c r="H532" s="2" t="s">
        <v>69</v>
      </c>
      <c r="I532" s="2" t="s">
        <v>126</v>
      </c>
      <c r="J532" s="2" t="s">
        <v>20</v>
      </c>
      <c r="K532" s="2" t="s">
        <v>47</v>
      </c>
      <c r="L532">
        <v>5</v>
      </c>
      <c r="M532">
        <v>624.42999999999995</v>
      </c>
      <c r="N532">
        <v>3122.1499999999996</v>
      </c>
      <c r="O532" t="s">
        <v>29</v>
      </c>
      <c r="P532" s="2" t="s">
        <v>43</v>
      </c>
      <c r="Q532" s="2" t="s">
        <v>41</v>
      </c>
    </row>
    <row r="533" spans="1:17" hidden="1" x14ac:dyDescent="0.3">
      <c r="A533">
        <v>202401119</v>
      </c>
      <c r="B533" s="1">
        <v>45604</v>
      </c>
      <c r="C533">
        <v>2024</v>
      </c>
      <c r="D533">
        <v>4</v>
      </c>
      <c r="E533">
        <v>11</v>
      </c>
      <c r="F533">
        <v>1</v>
      </c>
      <c r="G533" s="2" t="s">
        <v>17</v>
      </c>
      <c r="H533" s="2" t="s">
        <v>26</v>
      </c>
      <c r="I533" s="2" t="s">
        <v>78</v>
      </c>
      <c r="J533" s="2" t="s">
        <v>75</v>
      </c>
      <c r="K533" s="2" t="s">
        <v>21</v>
      </c>
      <c r="L533">
        <v>10</v>
      </c>
      <c r="M533">
        <v>1556.34</v>
      </c>
      <c r="N533">
        <v>15563.4</v>
      </c>
      <c r="O533" t="s">
        <v>22</v>
      </c>
      <c r="P533" s="2" t="s">
        <v>30</v>
      </c>
      <c r="Q533" s="2" t="s">
        <v>24</v>
      </c>
    </row>
    <row r="534" spans="1:17" hidden="1" x14ac:dyDescent="0.3">
      <c r="A534">
        <v>202400540</v>
      </c>
      <c r="B534" s="1">
        <v>45618</v>
      </c>
      <c r="C534">
        <v>2024</v>
      </c>
      <c r="D534">
        <v>4</v>
      </c>
      <c r="E534">
        <v>11</v>
      </c>
      <c r="F534">
        <v>35</v>
      </c>
      <c r="G534" s="2" t="s">
        <v>99</v>
      </c>
      <c r="H534" s="2" t="s">
        <v>140</v>
      </c>
      <c r="I534" s="2" t="s">
        <v>27</v>
      </c>
      <c r="J534" s="2" t="s">
        <v>20</v>
      </c>
      <c r="K534" s="2" t="s">
        <v>97</v>
      </c>
      <c r="L534">
        <v>2</v>
      </c>
      <c r="M534">
        <v>1780.55</v>
      </c>
      <c r="N534">
        <v>3561.1</v>
      </c>
      <c r="O534" t="s">
        <v>36</v>
      </c>
      <c r="P534" s="2" t="s">
        <v>48</v>
      </c>
      <c r="Q534" s="2" t="s">
        <v>24</v>
      </c>
    </row>
    <row r="535" spans="1:17" hidden="1" x14ac:dyDescent="0.3">
      <c r="A535">
        <v>202400178</v>
      </c>
      <c r="B535" s="1">
        <v>45635</v>
      </c>
      <c r="C535">
        <v>2024</v>
      </c>
      <c r="D535">
        <v>4</v>
      </c>
      <c r="E535">
        <v>12</v>
      </c>
      <c r="F535">
        <v>28</v>
      </c>
      <c r="G535" s="2" t="s">
        <v>114</v>
      </c>
      <c r="H535" s="2" t="s">
        <v>62</v>
      </c>
      <c r="I535" s="2" t="s">
        <v>33</v>
      </c>
      <c r="J535" s="2" t="s">
        <v>34</v>
      </c>
      <c r="K535" s="2" t="s">
        <v>59</v>
      </c>
      <c r="L535">
        <v>2</v>
      </c>
      <c r="M535">
        <v>432.37</v>
      </c>
      <c r="N535">
        <v>864.74</v>
      </c>
      <c r="O535" t="s">
        <v>36</v>
      </c>
      <c r="P535" s="2" t="s">
        <v>23</v>
      </c>
      <c r="Q535" s="2" t="s">
        <v>24</v>
      </c>
    </row>
    <row r="536" spans="1:17" hidden="1" x14ac:dyDescent="0.3">
      <c r="A536">
        <v>202401170</v>
      </c>
      <c r="B536" s="1">
        <v>45467</v>
      </c>
      <c r="C536">
        <v>2024</v>
      </c>
      <c r="D536">
        <v>2</v>
      </c>
      <c r="E536">
        <v>6</v>
      </c>
      <c r="F536">
        <v>48</v>
      </c>
      <c r="G536" s="2" t="s">
        <v>82</v>
      </c>
      <c r="H536" s="2" t="s">
        <v>140</v>
      </c>
      <c r="I536" s="2" t="s">
        <v>78</v>
      </c>
      <c r="J536" s="2" t="s">
        <v>75</v>
      </c>
      <c r="K536" s="2" t="s">
        <v>28</v>
      </c>
      <c r="L536">
        <v>2</v>
      </c>
      <c r="M536">
        <v>244.56</v>
      </c>
      <c r="N536">
        <v>489.12</v>
      </c>
      <c r="O536" t="s">
        <v>36</v>
      </c>
      <c r="P536" s="2" t="s">
        <v>43</v>
      </c>
      <c r="Q536" s="2" t="s">
        <v>24</v>
      </c>
    </row>
    <row r="537" spans="1:17" hidden="1" x14ac:dyDescent="0.3">
      <c r="A537">
        <v>202400716</v>
      </c>
      <c r="B537" s="1">
        <v>45626</v>
      </c>
      <c r="C537">
        <v>2024</v>
      </c>
      <c r="D537">
        <v>4</v>
      </c>
      <c r="E537">
        <v>11</v>
      </c>
      <c r="F537">
        <v>70</v>
      </c>
      <c r="G537" s="2" t="s">
        <v>94</v>
      </c>
      <c r="H537" s="2" t="s">
        <v>18</v>
      </c>
      <c r="I537" s="2" t="s">
        <v>78</v>
      </c>
      <c r="J537" s="2" t="s">
        <v>75</v>
      </c>
      <c r="K537" s="2" t="s">
        <v>52</v>
      </c>
      <c r="L537">
        <v>8</v>
      </c>
      <c r="M537">
        <v>550.75</v>
      </c>
      <c r="N537">
        <v>4406</v>
      </c>
      <c r="O537" t="s">
        <v>29</v>
      </c>
      <c r="P537" s="2" t="s">
        <v>43</v>
      </c>
      <c r="Q537" s="2" t="s">
        <v>24</v>
      </c>
    </row>
    <row r="538" spans="1:17" hidden="1" x14ac:dyDescent="0.3">
      <c r="A538">
        <v>202400599</v>
      </c>
      <c r="B538" s="1">
        <v>45652</v>
      </c>
      <c r="C538">
        <v>2024</v>
      </c>
      <c r="D538">
        <v>4</v>
      </c>
      <c r="E538">
        <v>12</v>
      </c>
      <c r="F538">
        <v>4</v>
      </c>
      <c r="G538" s="2" t="s">
        <v>110</v>
      </c>
      <c r="H538" s="2" t="s">
        <v>69</v>
      </c>
      <c r="I538" s="2" t="s">
        <v>78</v>
      </c>
      <c r="J538" s="2" t="s">
        <v>75</v>
      </c>
      <c r="K538" s="2" t="s">
        <v>47</v>
      </c>
      <c r="L538">
        <v>2</v>
      </c>
      <c r="M538">
        <v>1527.41</v>
      </c>
      <c r="N538">
        <v>3054.82</v>
      </c>
      <c r="O538" t="s">
        <v>36</v>
      </c>
      <c r="P538" s="2" t="s">
        <v>30</v>
      </c>
      <c r="Q538" s="2" t="s">
        <v>41</v>
      </c>
    </row>
    <row r="539" spans="1:17" hidden="1" x14ac:dyDescent="0.3">
      <c r="A539">
        <v>202400008</v>
      </c>
      <c r="B539" s="1">
        <v>45388</v>
      </c>
      <c r="C539">
        <v>2024</v>
      </c>
      <c r="D539">
        <v>2</v>
      </c>
      <c r="E539">
        <v>4</v>
      </c>
      <c r="F539">
        <v>66</v>
      </c>
      <c r="G539" s="2" t="s">
        <v>107</v>
      </c>
      <c r="H539" s="2" t="s">
        <v>69</v>
      </c>
      <c r="I539" s="2" t="s">
        <v>78</v>
      </c>
      <c r="J539" s="2" t="s">
        <v>75</v>
      </c>
      <c r="K539" s="2" t="s">
        <v>97</v>
      </c>
      <c r="L539">
        <v>3</v>
      </c>
      <c r="M539">
        <v>149.96</v>
      </c>
      <c r="N539">
        <v>449.88</v>
      </c>
      <c r="O539" t="s">
        <v>29</v>
      </c>
      <c r="P539" s="2" t="s">
        <v>23</v>
      </c>
      <c r="Q539" s="2" t="s">
        <v>24</v>
      </c>
    </row>
    <row r="540" spans="1:17" x14ac:dyDescent="0.3">
      <c r="A540">
        <v>202400571</v>
      </c>
      <c r="B540" s="1">
        <v>45316</v>
      </c>
      <c r="C540">
        <v>2024</v>
      </c>
      <c r="D540">
        <v>1</v>
      </c>
      <c r="E540">
        <v>1</v>
      </c>
      <c r="F540">
        <v>71</v>
      </c>
      <c r="G540" s="2" t="s">
        <v>80</v>
      </c>
      <c r="H540" s="2" t="s">
        <v>18</v>
      </c>
      <c r="I540" s="2" t="s">
        <v>65</v>
      </c>
      <c r="J540" s="2" t="s">
        <v>34</v>
      </c>
      <c r="K540" s="2" t="s">
        <v>71</v>
      </c>
      <c r="L540">
        <v>6</v>
      </c>
      <c r="M540">
        <v>386.75</v>
      </c>
      <c r="N540">
        <v>2320.5</v>
      </c>
      <c r="O540" t="s">
        <v>29</v>
      </c>
      <c r="P540" s="2" t="s">
        <v>30</v>
      </c>
      <c r="Q540" s="2" t="s">
        <v>24</v>
      </c>
    </row>
    <row r="541" spans="1:17" x14ac:dyDescent="0.3">
      <c r="A541">
        <v>202400862</v>
      </c>
      <c r="B541" s="1">
        <v>45345</v>
      </c>
      <c r="C541">
        <v>2024</v>
      </c>
      <c r="D541">
        <v>1</v>
      </c>
      <c r="E541">
        <v>2</v>
      </c>
      <c r="F541">
        <v>60</v>
      </c>
      <c r="G541" s="2" t="s">
        <v>101</v>
      </c>
      <c r="H541" s="2" t="s">
        <v>62</v>
      </c>
      <c r="I541" s="2" t="s">
        <v>54</v>
      </c>
      <c r="J541" s="2" t="s">
        <v>20</v>
      </c>
      <c r="K541" s="2" t="s">
        <v>39</v>
      </c>
      <c r="L541">
        <v>6</v>
      </c>
      <c r="M541">
        <v>1509.74</v>
      </c>
      <c r="N541">
        <v>9058.44</v>
      </c>
      <c r="O541" t="s">
        <v>29</v>
      </c>
      <c r="P541" s="2" t="s">
        <v>43</v>
      </c>
      <c r="Q541" s="2" t="s">
        <v>24</v>
      </c>
    </row>
    <row r="542" spans="1:17" hidden="1" x14ac:dyDescent="0.3">
      <c r="A542">
        <v>202400358</v>
      </c>
      <c r="B542" s="1">
        <v>45445</v>
      </c>
      <c r="C542">
        <v>2024</v>
      </c>
      <c r="D542">
        <v>2</v>
      </c>
      <c r="E542">
        <v>6</v>
      </c>
      <c r="F542">
        <v>38</v>
      </c>
      <c r="G542" s="2" t="s">
        <v>92</v>
      </c>
      <c r="H542" s="2" t="s">
        <v>18</v>
      </c>
      <c r="I542" s="2" t="s">
        <v>78</v>
      </c>
      <c r="J542" s="2" t="s">
        <v>75</v>
      </c>
      <c r="K542" s="2" t="s">
        <v>60</v>
      </c>
      <c r="L542">
        <v>8</v>
      </c>
      <c r="M542">
        <v>718.02</v>
      </c>
      <c r="N542">
        <v>5744.16</v>
      </c>
      <c r="O542" t="s">
        <v>29</v>
      </c>
      <c r="P542" s="2" t="s">
        <v>43</v>
      </c>
      <c r="Q542" s="2" t="s">
        <v>41</v>
      </c>
    </row>
    <row r="543" spans="1:17" x14ac:dyDescent="0.3">
      <c r="A543">
        <v>202400330</v>
      </c>
      <c r="B543" s="1">
        <v>45324</v>
      </c>
      <c r="C543">
        <v>2024</v>
      </c>
      <c r="D543">
        <v>1</v>
      </c>
      <c r="E543">
        <v>2</v>
      </c>
      <c r="F543">
        <v>15</v>
      </c>
      <c r="G543" s="2" t="s">
        <v>115</v>
      </c>
      <c r="H543" s="2" t="s">
        <v>140</v>
      </c>
      <c r="I543" s="2" t="s">
        <v>19</v>
      </c>
      <c r="J543" s="2" t="s">
        <v>20</v>
      </c>
      <c r="K543" s="2" t="s">
        <v>28</v>
      </c>
      <c r="L543">
        <v>13</v>
      </c>
      <c r="M543">
        <v>1088.03</v>
      </c>
      <c r="N543">
        <v>14144.39</v>
      </c>
      <c r="O543" t="s">
        <v>22</v>
      </c>
      <c r="P543" s="2" t="s">
        <v>30</v>
      </c>
      <c r="Q543" s="2" t="s">
        <v>41</v>
      </c>
    </row>
    <row r="544" spans="1:17" hidden="1" x14ac:dyDescent="0.3">
      <c r="A544">
        <v>202400722</v>
      </c>
      <c r="B544" s="1">
        <v>45555</v>
      </c>
      <c r="C544">
        <v>2024</v>
      </c>
      <c r="D544">
        <v>3</v>
      </c>
      <c r="E544">
        <v>9</v>
      </c>
      <c r="F544">
        <v>19</v>
      </c>
      <c r="G544" s="2" t="s">
        <v>122</v>
      </c>
      <c r="H544" s="2" t="s">
        <v>26</v>
      </c>
      <c r="I544" s="2" t="s">
        <v>38</v>
      </c>
      <c r="J544" s="2" t="s">
        <v>20</v>
      </c>
      <c r="K544" s="2" t="s">
        <v>52</v>
      </c>
      <c r="L544">
        <v>6</v>
      </c>
      <c r="M544">
        <v>1572.71</v>
      </c>
      <c r="N544">
        <v>9436.26</v>
      </c>
      <c r="O544" t="s">
        <v>29</v>
      </c>
      <c r="P544" s="2" t="s">
        <v>30</v>
      </c>
      <c r="Q544" s="2" t="s">
        <v>31</v>
      </c>
    </row>
    <row r="545" spans="1:17" x14ac:dyDescent="0.3">
      <c r="A545">
        <v>202400849</v>
      </c>
      <c r="B545" s="1">
        <v>45326</v>
      </c>
      <c r="C545">
        <v>2024</v>
      </c>
      <c r="D545">
        <v>1</v>
      </c>
      <c r="E545">
        <v>2</v>
      </c>
      <c r="F545">
        <v>64</v>
      </c>
      <c r="G545" s="2" t="s">
        <v>106</v>
      </c>
      <c r="H545" s="2" t="s">
        <v>26</v>
      </c>
      <c r="I545" s="2" t="s">
        <v>27</v>
      </c>
      <c r="J545" s="2" t="s">
        <v>20</v>
      </c>
      <c r="K545" s="2" t="s">
        <v>59</v>
      </c>
      <c r="L545">
        <v>8</v>
      </c>
      <c r="M545">
        <v>228.52</v>
      </c>
      <c r="N545">
        <v>1828.16</v>
      </c>
      <c r="O545" t="s">
        <v>29</v>
      </c>
      <c r="P545" s="2" t="s">
        <v>43</v>
      </c>
      <c r="Q545" s="2" t="s">
        <v>41</v>
      </c>
    </row>
    <row r="546" spans="1:17" hidden="1" x14ac:dyDescent="0.3">
      <c r="A546">
        <v>202400259</v>
      </c>
      <c r="B546" s="1">
        <v>45575</v>
      </c>
      <c r="C546">
        <v>2024</v>
      </c>
      <c r="D546">
        <v>4</v>
      </c>
      <c r="E546">
        <v>10</v>
      </c>
      <c r="F546">
        <v>5</v>
      </c>
      <c r="G546" s="2" t="s">
        <v>121</v>
      </c>
      <c r="H546" s="2" t="s">
        <v>62</v>
      </c>
      <c r="I546" s="2" t="s">
        <v>27</v>
      </c>
      <c r="J546" s="2" t="s">
        <v>20</v>
      </c>
      <c r="K546" s="2" t="s">
        <v>59</v>
      </c>
      <c r="L546">
        <v>9</v>
      </c>
      <c r="M546">
        <v>1337.42</v>
      </c>
      <c r="N546">
        <v>12036.78</v>
      </c>
      <c r="O546" t="s">
        <v>29</v>
      </c>
      <c r="P546" s="2" t="s">
        <v>30</v>
      </c>
      <c r="Q546" s="2" t="s">
        <v>24</v>
      </c>
    </row>
    <row r="547" spans="1:17" hidden="1" x14ac:dyDescent="0.3">
      <c r="A547">
        <v>202400888</v>
      </c>
      <c r="B547" s="1">
        <v>45651</v>
      </c>
      <c r="C547">
        <v>2024</v>
      </c>
      <c r="D547">
        <v>4</v>
      </c>
      <c r="E547">
        <v>12</v>
      </c>
      <c r="F547">
        <v>13</v>
      </c>
      <c r="G547" s="2" t="s">
        <v>72</v>
      </c>
      <c r="H547" s="2" t="s">
        <v>69</v>
      </c>
      <c r="I547" s="2" t="s">
        <v>38</v>
      </c>
      <c r="J547" s="2" t="s">
        <v>20</v>
      </c>
      <c r="K547" s="2" t="s">
        <v>50</v>
      </c>
      <c r="L547">
        <v>2</v>
      </c>
      <c r="M547">
        <v>824.04</v>
      </c>
      <c r="N547">
        <v>1648.08</v>
      </c>
      <c r="O547" t="s">
        <v>36</v>
      </c>
      <c r="P547" s="2" t="s">
        <v>43</v>
      </c>
      <c r="Q547" s="2" t="s">
        <v>24</v>
      </c>
    </row>
    <row r="548" spans="1:17" hidden="1" x14ac:dyDescent="0.3">
      <c r="A548">
        <v>202400912</v>
      </c>
      <c r="B548" s="1">
        <v>45438</v>
      </c>
      <c r="C548">
        <v>2024</v>
      </c>
      <c r="D548">
        <v>2</v>
      </c>
      <c r="E548">
        <v>5</v>
      </c>
      <c r="F548">
        <v>35</v>
      </c>
      <c r="G548" s="2" t="s">
        <v>99</v>
      </c>
      <c r="H548" s="2" t="s">
        <v>140</v>
      </c>
      <c r="I548" s="2" t="s">
        <v>27</v>
      </c>
      <c r="J548" s="2" t="s">
        <v>20</v>
      </c>
      <c r="K548" s="2" t="s">
        <v>58</v>
      </c>
      <c r="L548">
        <v>7</v>
      </c>
      <c r="M548">
        <v>578.48</v>
      </c>
      <c r="N548">
        <v>4049.36</v>
      </c>
      <c r="O548" t="s">
        <v>29</v>
      </c>
      <c r="P548" s="2" t="s">
        <v>30</v>
      </c>
      <c r="Q548" s="2" t="s">
        <v>24</v>
      </c>
    </row>
    <row r="549" spans="1:17" hidden="1" x14ac:dyDescent="0.3">
      <c r="A549">
        <v>202400890</v>
      </c>
      <c r="B549" s="1">
        <v>45620</v>
      </c>
      <c r="C549">
        <v>2024</v>
      </c>
      <c r="D549">
        <v>4</v>
      </c>
      <c r="E549">
        <v>11</v>
      </c>
      <c r="F549">
        <v>46</v>
      </c>
      <c r="G549" s="2" t="s">
        <v>88</v>
      </c>
      <c r="H549" s="2" t="s">
        <v>26</v>
      </c>
      <c r="I549" s="2" t="s">
        <v>85</v>
      </c>
      <c r="J549" s="2" t="s">
        <v>57</v>
      </c>
      <c r="K549" s="2" t="s">
        <v>39</v>
      </c>
      <c r="L549">
        <v>4</v>
      </c>
      <c r="M549">
        <v>785.3</v>
      </c>
      <c r="N549">
        <v>3141.2</v>
      </c>
      <c r="O549" t="s">
        <v>29</v>
      </c>
      <c r="P549" s="2" t="s">
        <v>23</v>
      </c>
      <c r="Q549" s="2" t="s">
        <v>24</v>
      </c>
    </row>
    <row r="550" spans="1:17" hidden="1" x14ac:dyDescent="0.3">
      <c r="A550">
        <v>202400616</v>
      </c>
      <c r="B550" s="1">
        <v>45632</v>
      </c>
      <c r="C550">
        <v>2024</v>
      </c>
      <c r="D550">
        <v>4</v>
      </c>
      <c r="E550">
        <v>12</v>
      </c>
      <c r="F550">
        <v>66</v>
      </c>
      <c r="G550" s="2" t="s">
        <v>107</v>
      </c>
      <c r="H550" s="2" t="s">
        <v>69</v>
      </c>
      <c r="I550" s="2" t="s">
        <v>78</v>
      </c>
      <c r="J550" s="2" t="s">
        <v>75</v>
      </c>
      <c r="K550" s="2" t="s">
        <v>59</v>
      </c>
      <c r="L550">
        <v>2</v>
      </c>
      <c r="M550">
        <v>1639.48</v>
      </c>
      <c r="N550">
        <v>3278.96</v>
      </c>
      <c r="O550" t="s">
        <v>36</v>
      </c>
      <c r="P550" s="2" t="s">
        <v>43</v>
      </c>
      <c r="Q550" s="2" t="s">
        <v>31</v>
      </c>
    </row>
    <row r="551" spans="1:17" hidden="1" x14ac:dyDescent="0.3">
      <c r="A551">
        <v>202400848</v>
      </c>
      <c r="B551" s="1">
        <v>45426</v>
      </c>
      <c r="C551">
        <v>2024</v>
      </c>
      <c r="D551">
        <v>2</v>
      </c>
      <c r="E551">
        <v>5</v>
      </c>
      <c r="F551">
        <v>46</v>
      </c>
      <c r="G551" s="2" t="s">
        <v>88</v>
      </c>
      <c r="H551" s="2" t="s">
        <v>26</v>
      </c>
      <c r="I551" s="2" t="s">
        <v>85</v>
      </c>
      <c r="J551" s="2" t="s">
        <v>57</v>
      </c>
      <c r="K551" s="2" t="s">
        <v>58</v>
      </c>
      <c r="L551">
        <v>4</v>
      </c>
      <c r="M551">
        <v>1711.94</v>
      </c>
      <c r="N551">
        <v>6847.76</v>
      </c>
      <c r="O551" t="s">
        <v>29</v>
      </c>
      <c r="P551" s="2" t="s">
        <v>30</v>
      </c>
      <c r="Q551" s="2" t="s">
        <v>24</v>
      </c>
    </row>
    <row r="552" spans="1:17" hidden="1" x14ac:dyDescent="0.3">
      <c r="A552">
        <v>202400526</v>
      </c>
      <c r="B552" s="1">
        <v>45620</v>
      </c>
      <c r="C552">
        <v>2024</v>
      </c>
      <c r="D552">
        <v>4</v>
      </c>
      <c r="E552">
        <v>11</v>
      </c>
      <c r="F552">
        <v>33</v>
      </c>
      <c r="G552" s="2" t="s">
        <v>133</v>
      </c>
      <c r="H552" s="2" t="s">
        <v>140</v>
      </c>
      <c r="I552" s="2" t="s">
        <v>33</v>
      </c>
      <c r="J552" s="2" t="s">
        <v>34</v>
      </c>
      <c r="K552" s="2" t="s">
        <v>42</v>
      </c>
      <c r="L552">
        <v>13</v>
      </c>
      <c r="M552">
        <v>617.91999999999996</v>
      </c>
      <c r="N552">
        <v>8032.9599999999991</v>
      </c>
      <c r="O552" t="s">
        <v>22</v>
      </c>
      <c r="P552" s="2" t="s">
        <v>43</v>
      </c>
      <c r="Q552" s="2" t="s">
        <v>24</v>
      </c>
    </row>
    <row r="553" spans="1:17" hidden="1" x14ac:dyDescent="0.3">
      <c r="A553">
        <v>202401178</v>
      </c>
      <c r="B553" s="1">
        <v>45634</v>
      </c>
      <c r="C553">
        <v>2024</v>
      </c>
      <c r="D553">
        <v>4</v>
      </c>
      <c r="E553">
        <v>12</v>
      </c>
      <c r="F553">
        <v>59</v>
      </c>
      <c r="G553" s="2" t="s">
        <v>73</v>
      </c>
      <c r="H553" s="2" t="s">
        <v>62</v>
      </c>
      <c r="I553" s="2" t="s">
        <v>74</v>
      </c>
      <c r="J553" s="2" t="s">
        <v>75</v>
      </c>
      <c r="K553" s="2" t="s">
        <v>97</v>
      </c>
      <c r="L553">
        <v>2</v>
      </c>
      <c r="M553">
        <v>825.97</v>
      </c>
      <c r="N553">
        <v>1651.94</v>
      </c>
      <c r="O553" t="s">
        <v>36</v>
      </c>
      <c r="P553" s="2" t="s">
        <v>43</v>
      </c>
      <c r="Q553" s="2" t="s">
        <v>24</v>
      </c>
    </row>
    <row r="554" spans="1:17" hidden="1" x14ac:dyDescent="0.3">
      <c r="A554">
        <v>202400736</v>
      </c>
      <c r="B554" s="1">
        <v>45531</v>
      </c>
      <c r="C554">
        <v>2024</v>
      </c>
      <c r="D554">
        <v>3</v>
      </c>
      <c r="E554">
        <v>8</v>
      </c>
      <c r="F554">
        <v>10</v>
      </c>
      <c r="G554" s="2" t="s">
        <v>17</v>
      </c>
      <c r="H554" s="2" t="s">
        <v>18</v>
      </c>
      <c r="I554" s="2" t="s">
        <v>19</v>
      </c>
      <c r="J554" s="2" t="s">
        <v>20</v>
      </c>
      <c r="K554" s="2" t="s">
        <v>28</v>
      </c>
      <c r="L554">
        <v>5</v>
      </c>
      <c r="M554">
        <v>1974.59</v>
      </c>
      <c r="N554">
        <v>9872.9499999999989</v>
      </c>
      <c r="O554" t="s">
        <v>29</v>
      </c>
      <c r="P554" s="2" t="s">
        <v>43</v>
      </c>
      <c r="Q554" s="2" t="s">
        <v>40</v>
      </c>
    </row>
    <row r="555" spans="1:17" x14ac:dyDescent="0.3">
      <c r="A555">
        <v>202400769</v>
      </c>
      <c r="B555" s="1">
        <v>45336</v>
      </c>
      <c r="C555">
        <v>2024</v>
      </c>
      <c r="D555">
        <v>1</v>
      </c>
      <c r="E555">
        <v>2</v>
      </c>
      <c r="F555">
        <v>43</v>
      </c>
      <c r="G555" s="2" t="s">
        <v>100</v>
      </c>
      <c r="H555" s="2" t="s">
        <v>69</v>
      </c>
      <c r="I555" s="2" t="s">
        <v>54</v>
      </c>
      <c r="J555" s="2" t="s">
        <v>20</v>
      </c>
      <c r="K555" s="2" t="s">
        <v>50</v>
      </c>
      <c r="L555">
        <v>4</v>
      </c>
      <c r="M555">
        <v>1361.14</v>
      </c>
      <c r="N555">
        <v>5444.56</v>
      </c>
      <c r="O555" t="s">
        <v>29</v>
      </c>
      <c r="P555" s="2" t="s">
        <v>48</v>
      </c>
      <c r="Q555" s="2" t="s">
        <v>24</v>
      </c>
    </row>
    <row r="556" spans="1:17" hidden="1" x14ac:dyDescent="0.3">
      <c r="A556">
        <v>202401152</v>
      </c>
      <c r="B556" s="1">
        <v>45452</v>
      </c>
      <c r="C556">
        <v>2024</v>
      </c>
      <c r="D556">
        <v>2</v>
      </c>
      <c r="E556">
        <v>6</v>
      </c>
      <c r="F556">
        <v>8</v>
      </c>
      <c r="G556" s="2" t="s">
        <v>63</v>
      </c>
      <c r="H556" s="2" t="s">
        <v>26</v>
      </c>
      <c r="I556" s="2" t="s">
        <v>54</v>
      </c>
      <c r="J556" s="2" t="s">
        <v>20</v>
      </c>
      <c r="K556" s="2" t="s">
        <v>42</v>
      </c>
      <c r="L556">
        <v>12</v>
      </c>
      <c r="M556">
        <v>654.6</v>
      </c>
      <c r="N556">
        <v>7855.2000000000007</v>
      </c>
      <c r="O556" t="s">
        <v>22</v>
      </c>
      <c r="P556" s="2" t="s">
        <v>43</v>
      </c>
      <c r="Q556" s="2" t="s">
        <v>24</v>
      </c>
    </row>
    <row r="557" spans="1:17" hidden="1" x14ac:dyDescent="0.3">
      <c r="A557">
        <v>202400441</v>
      </c>
      <c r="B557" s="1">
        <v>45476</v>
      </c>
      <c r="C557">
        <v>2024</v>
      </c>
      <c r="D557">
        <v>3</v>
      </c>
      <c r="E557">
        <v>7</v>
      </c>
      <c r="F557">
        <v>39</v>
      </c>
      <c r="G557" s="2" t="s">
        <v>98</v>
      </c>
      <c r="H557" s="2" t="s">
        <v>18</v>
      </c>
      <c r="I557" s="2" t="s">
        <v>19</v>
      </c>
      <c r="J557" s="2" t="s">
        <v>20</v>
      </c>
      <c r="K557" s="2" t="s">
        <v>70</v>
      </c>
      <c r="L557">
        <v>3</v>
      </c>
      <c r="M557">
        <v>621.32000000000005</v>
      </c>
      <c r="N557">
        <v>1863.96</v>
      </c>
      <c r="O557" t="s">
        <v>29</v>
      </c>
      <c r="P557" s="2" t="s">
        <v>30</v>
      </c>
      <c r="Q557" s="2" t="s">
        <v>41</v>
      </c>
    </row>
    <row r="558" spans="1:17" hidden="1" x14ac:dyDescent="0.3">
      <c r="A558">
        <v>202400532</v>
      </c>
      <c r="B558" s="1">
        <v>45557</v>
      </c>
      <c r="C558">
        <v>2024</v>
      </c>
      <c r="D558">
        <v>3</v>
      </c>
      <c r="E558">
        <v>9</v>
      </c>
      <c r="F558">
        <v>57</v>
      </c>
      <c r="G558" s="2" t="s">
        <v>53</v>
      </c>
      <c r="H558" s="2" t="s">
        <v>18</v>
      </c>
      <c r="I558" s="2" t="s">
        <v>54</v>
      </c>
      <c r="J558" s="2" t="s">
        <v>20</v>
      </c>
      <c r="K558" s="2" t="s">
        <v>97</v>
      </c>
      <c r="L558">
        <v>6</v>
      </c>
      <c r="M558">
        <v>1428.79</v>
      </c>
      <c r="N558">
        <v>8572.74</v>
      </c>
      <c r="O558" t="s">
        <v>29</v>
      </c>
      <c r="P558" s="2" t="s">
        <v>30</v>
      </c>
      <c r="Q558" s="2" t="s">
        <v>24</v>
      </c>
    </row>
    <row r="559" spans="1:17" hidden="1" x14ac:dyDescent="0.3">
      <c r="A559">
        <v>202401044</v>
      </c>
      <c r="B559" s="1">
        <v>45511</v>
      </c>
      <c r="C559">
        <v>2024</v>
      </c>
      <c r="D559">
        <v>3</v>
      </c>
      <c r="E559">
        <v>8</v>
      </c>
      <c r="F559">
        <v>72</v>
      </c>
      <c r="G559" s="2" t="s">
        <v>100</v>
      </c>
      <c r="H559" s="2" t="s">
        <v>140</v>
      </c>
      <c r="I559" s="2" t="s">
        <v>33</v>
      </c>
      <c r="J559" s="2" t="s">
        <v>34</v>
      </c>
      <c r="K559" s="2" t="s">
        <v>21</v>
      </c>
      <c r="L559">
        <v>11</v>
      </c>
      <c r="M559">
        <v>1868.69</v>
      </c>
      <c r="N559">
        <v>20555.59</v>
      </c>
      <c r="O559" t="s">
        <v>22</v>
      </c>
      <c r="P559" s="2" t="s">
        <v>30</v>
      </c>
      <c r="Q559" s="2" t="s">
        <v>24</v>
      </c>
    </row>
    <row r="560" spans="1:17" x14ac:dyDescent="0.3">
      <c r="A560">
        <v>202400229</v>
      </c>
      <c r="B560" s="1">
        <v>45355</v>
      </c>
      <c r="C560">
        <v>2024</v>
      </c>
      <c r="D560">
        <v>1</v>
      </c>
      <c r="E560">
        <v>3</v>
      </c>
      <c r="F560">
        <v>76</v>
      </c>
      <c r="G560" s="2" t="s">
        <v>104</v>
      </c>
      <c r="H560" s="2" t="s">
        <v>140</v>
      </c>
      <c r="I560" s="2" t="s">
        <v>33</v>
      </c>
      <c r="J560" s="2" t="s">
        <v>34</v>
      </c>
      <c r="K560" s="2" t="s">
        <v>42</v>
      </c>
      <c r="L560">
        <v>12</v>
      </c>
      <c r="M560">
        <v>234.9</v>
      </c>
      <c r="N560">
        <v>2818.8</v>
      </c>
      <c r="O560" t="s">
        <v>22</v>
      </c>
      <c r="P560" s="2" t="s">
        <v>43</v>
      </c>
      <c r="Q560" s="2" t="s">
        <v>24</v>
      </c>
    </row>
    <row r="561" spans="1:17" hidden="1" x14ac:dyDescent="0.3">
      <c r="A561">
        <v>202401075</v>
      </c>
      <c r="B561" s="1">
        <v>45600</v>
      </c>
      <c r="C561">
        <v>2024</v>
      </c>
      <c r="D561">
        <v>4</v>
      </c>
      <c r="E561">
        <v>11</v>
      </c>
      <c r="F561">
        <v>30</v>
      </c>
      <c r="G561" s="2" t="s">
        <v>91</v>
      </c>
      <c r="H561" s="2" t="s">
        <v>69</v>
      </c>
      <c r="I561" s="2" t="s">
        <v>65</v>
      </c>
      <c r="J561" s="2" t="s">
        <v>34</v>
      </c>
      <c r="K561" s="2" t="s">
        <v>47</v>
      </c>
      <c r="L561">
        <v>8</v>
      </c>
      <c r="M561">
        <v>1410.2</v>
      </c>
      <c r="N561">
        <v>11281.6</v>
      </c>
      <c r="O561" t="s">
        <v>29</v>
      </c>
      <c r="P561" s="2" t="s">
        <v>43</v>
      </c>
      <c r="Q561" s="2" t="s">
        <v>24</v>
      </c>
    </row>
    <row r="562" spans="1:17" x14ac:dyDescent="0.3">
      <c r="A562">
        <v>202400213</v>
      </c>
      <c r="B562" s="1">
        <v>45332</v>
      </c>
      <c r="C562">
        <v>2024</v>
      </c>
      <c r="D562">
        <v>1</v>
      </c>
      <c r="E562">
        <v>2</v>
      </c>
      <c r="F562">
        <v>76</v>
      </c>
      <c r="G562" s="2" t="s">
        <v>104</v>
      </c>
      <c r="H562" s="2" t="s">
        <v>140</v>
      </c>
      <c r="I562" s="2" t="s">
        <v>33</v>
      </c>
      <c r="J562" s="2" t="s">
        <v>34</v>
      </c>
      <c r="K562" s="2" t="s">
        <v>50</v>
      </c>
      <c r="L562">
        <v>2</v>
      </c>
      <c r="M562">
        <v>49.8</v>
      </c>
      <c r="N562">
        <v>99.6</v>
      </c>
      <c r="O562" t="s">
        <v>36</v>
      </c>
      <c r="P562" s="2" t="s">
        <v>30</v>
      </c>
      <c r="Q562" s="2" t="s">
        <v>24</v>
      </c>
    </row>
    <row r="563" spans="1:17" hidden="1" x14ac:dyDescent="0.3">
      <c r="A563">
        <v>202400080</v>
      </c>
      <c r="B563" s="1">
        <v>45594</v>
      </c>
      <c r="C563">
        <v>2024</v>
      </c>
      <c r="D563">
        <v>4</v>
      </c>
      <c r="E563">
        <v>10</v>
      </c>
      <c r="F563">
        <v>36</v>
      </c>
      <c r="G563" s="2" t="s">
        <v>123</v>
      </c>
      <c r="H563" s="2" t="s">
        <v>62</v>
      </c>
      <c r="I563" s="2" t="s">
        <v>54</v>
      </c>
      <c r="J563" s="2" t="s">
        <v>20</v>
      </c>
      <c r="K563" s="2" t="s">
        <v>28</v>
      </c>
      <c r="L563">
        <v>10</v>
      </c>
      <c r="M563">
        <v>293.98</v>
      </c>
      <c r="N563">
        <v>2939.8</v>
      </c>
      <c r="O563" t="s">
        <v>22</v>
      </c>
      <c r="P563" s="2" t="s">
        <v>43</v>
      </c>
      <c r="Q563" s="2" t="s">
        <v>24</v>
      </c>
    </row>
    <row r="564" spans="1:17" x14ac:dyDescent="0.3">
      <c r="A564">
        <v>202400149</v>
      </c>
      <c r="B564" s="1">
        <v>45323</v>
      </c>
      <c r="C564">
        <v>2024</v>
      </c>
      <c r="D564">
        <v>1</v>
      </c>
      <c r="E564">
        <v>2</v>
      </c>
      <c r="F564">
        <v>51</v>
      </c>
      <c r="G564" s="2" t="s">
        <v>132</v>
      </c>
      <c r="H564" s="2" t="s">
        <v>62</v>
      </c>
      <c r="I564" s="2" t="s">
        <v>78</v>
      </c>
      <c r="J564" s="2" t="s">
        <v>75</v>
      </c>
      <c r="K564" s="2" t="s">
        <v>60</v>
      </c>
      <c r="L564">
        <v>3</v>
      </c>
      <c r="M564">
        <v>1438.37</v>
      </c>
      <c r="N564">
        <v>4315.1099999999997</v>
      </c>
      <c r="O564" t="s">
        <v>29</v>
      </c>
      <c r="P564" s="2" t="s">
        <v>30</v>
      </c>
      <c r="Q564" s="2" t="s">
        <v>49</v>
      </c>
    </row>
    <row r="565" spans="1:17" hidden="1" x14ac:dyDescent="0.3">
      <c r="A565">
        <v>202400721</v>
      </c>
      <c r="B565" s="1">
        <v>45392</v>
      </c>
      <c r="C565">
        <v>2024</v>
      </c>
      <c r="D565">
        <v>2</v>
      </c>
      <c r="E565">
        <v>4</v>
      </c>
      <c r="F565">
        <v>61</v>
      </c>
      <c r="G565" s="2" t="s">
        <v>90</v>
      </c>
      <c r="H565" s="2" t="s">
        <v>69</v>
      </c>
      <c r="I565" s="2" t="s">
        <v>65</v>
      </c>
      <c r="J565" s="2" t="s">
        <v>34</v>
      </c>
      <c r="K565" s="2" t="s">
        <v>60</v>
      </c>
      <c r="L565">
        <v>5</v>
      </c>
      <c r="M565">
        <v>1964.09</v>
      </c>
      <c r="N565">
        <v>9820.4499999999989</v>
      </c>
      <c r="O565" t="s">
        <v>29</v>
      </c>
      <c r="P565" s="2" t="s">
        <v>23</v>
      </c>
      <c r="Q565" s="2" t="s">
        <v>24</v>
      </c>
    </row>
    <row r="566" spans="1:17" hidden="1" x14ac:dyDescent="0.3">
      <c r="A566">
        <v>202400725</v>
      </c>
      <c r="B566" s="1">
        <v>45572</v>
      </c>
      <c r="C566">
        <v>2024</v>
      </c>
      <c r="D566">
        <v>4</v>
      </c>
      <c r="E566">
        <v>10</v>
      </c>
      <c r="F566">
        <v>5</v>
      </c>
      <c r="G566" s="2" t="s">
        <v>121</v>
      </c>
      <c r="H566" s="2" t="s">
        <v>62</v>
      </c>
      <c r="I566" s="2" t="s">
        <v>27</v>
      </c>
      <c r="J566" s="2" t="s">
        <v>20</v>
      </c>
      <c r="K566" s="2" t="s">
        <v>28</v>
      </c>
      <c r="L566">
        <v>12</v>
      </c>
      <c r="M566">
        <v>1429.57</v>
      </c>
      <c r="N566">
        <v>17154.84</v>
      </c>
      <c r="O566" t="s">
        <v>22</v>
      </c>
      <c r="P566" s="2" t="s">
        <v>30</v>
      </c>
      <c r="Q566" s="2" t="s">
        <v>24</v>
      </c>
    </row>
    <row r="567" spans="1:17" hidden="1" x14ac:dyDescent="0.3">
      <c r="A567">
        <v>202400715</v>
      </c>
      <c r="B567" s="1">
        <v>45597</v>
      </c>
      <c r="C567">
        <v>2024</v>
      </c>
      <c r="D567">
        <v>4</v>
      </c>
      <c r="E567">
        <v>11</v>
      </c>
      <c r="F567">
        <v>70</v>
      </c>
      <c r="G567" s="2" t="s">
        <v>94</v>
      </c>
      <c r="H567" s="2" t="s">
        <v>18</v>
      </c>
      <c r="I567" s="2" t="s">
        <v>78</v>
      </c>
      <c r="J567" s="2" t="s">
        <v>75</v>
      </c>
      <c r="K567" s="2" t="s">
        <v>60</v>
      </c>
      <c r="L567">
        <v>5</v>
      </c>
      <c r="M567">
        <v>121.37</v>
      </c>
      <c r="N567">
        <v>606.85</v>
      </c>
      <c r="O567" t="s">
        <v>29</v>
      </c>
      <c r="P567" s="2" t="s">
        <v>30</v>
      </c>
      <c r="Q567" s="2" t="s">
        <v>40</v>
      </c>
    </row>
    <row r="568" spans="1:17" hidden="1" x14ac:dyDescent="0.3">
      <c r="A568">
        <v>202400134</v>
      </c>
      <c r="B568" s="1">
        <v>45637</v>
      </c>
      <c r="C568">
        <v>2024</v>
      </c>
      <c r="D568">
        <v>4</v>
      </c>
      <c r="E568">
        <v>12</v>
      </c>
      <c r="F568">
        <v>4</v>
      </c>
      <c r="G568" s="2" t="s">
        <v>110</v>
      </c>
      <c r="H568" s="2" t="s">
        <v>69</v>
      </c>
      <c r="I568" s="2" t="s">
        <v>78</v>
      </c>
      <c r="J568" s="2" t="s">
        <v>75</v>
      </c>
      <c r="K568" s="2" t="s">
        <v>52</v>
      </c>
      <c r="L568">
        <v>6</v>
      </c>
      <c r="M568">
        <v>120.49</v>
      </c>
      <c r="N568">
        <v>722.93999999999994</v>
      </c>
      <c r="O568" t="s">
        <v>29</v>
      </c>
      <c r="P568" s="2" t="s">
        <v>48</v>
      </c>
      <c r="Q568" s="2" t="s">
        <v>24</v>
      </c>
    </row>
    <row r="569" spans="1:17" hidden="1" x14ac:dyDescent="0.3">
      <c r="A569">
        <v>202400844</v>
      </c>
      <c r="B569" s="1">
        <v>45570</v>
      </c>
      <c r="C569">
        <v>2024</v>
      </c>
      <c r="D569">
        <v>4</v>
      </c>
      <c r="E569">
        <v>10</v>
      </c>
      <c r="F569">
        <v>68</v>
      </c>
      <c r="G569" s="2" t="s">
        <v>128</v>
      </c>
      <c r="H569" s="2" t="s">
        <v>140</v>
      </c>
      <c r="I569" s="2" t="s">
        <v>85</v>
      </c>
      <c r="J569" s="2" t="s">
        <v>57</v>
      </c>
      <c r="K569" s="2" t="s">
        <v>52</v>
      </c>
      <c r="L569">
        <v>12</v>
      </c>
      <c r="M569">
        <v>641.92999999999995</v>
      </c>
      <c r="N569">
        <v>7703.16</v>
      </c>
      <c r="O569" t="s">
        <v>22</v>
      </c>
      <c r="P569" s="2" t="s">
        <v>23</v>
      </c>
      <c r="Q569" s="2" t="s">
        <v>24</v>
      </c>
    </row>
    <row r="570" spans="1:17" x14ac:dyDescent="0.3">
      <c r="A570">
        <v>202400409</v>
      </c>
      <c r="B570" s="1">
        <v>45353</v>
      </c>
      <c r="C570">
        <v>2024</v>
      </c>
      <c r="D570">
        <v>1</v>
      </c>
      <c r="E570">
        <v>3</v>
      </c>
      <c r="F570">
        <v>18</v>
      </c>
      <c r="G570" s="2" t="s">
        <v>116</v>
      </c>
      <c r="H570" s="2" t="s">
        <v>62</v>
      </c>
      <c r="I570" s="2" t="s">
        <v>54</v>
      </c>
      <c r="J570" s="2" t="s">
        <v>20</v>
      </c>
      <c r="K570" s="2" t="s">
        <v>52</v>
      </c>
      <c r="L570">
        <v>14</v>
      </c>
      <c r="M570">
        <v>1149.1400000000001</v>
      </c>
      <c r="N570">
        <v>16087.960000000001</v>
      </c>
      <c r="O570" t="s">
        <v>22</v>
      </c>
      <c r="P570" s="2" t="s">
        <v>43</v>
      </c>
      <c r="Q570" s="2" t="s">
        <v>24</v>
      </c>
    </row>
    <row r="571" spans="1:17" hidden="1" x14ac:dyDescent="0.3">
      <c r="A571">
        <v>202400773</v>
      </c>
      <c r="B571" s="1">
        <v>45593</v>
      </c>
      <c r="C571">
        <v>2024</v>
      </c>
      <c r="D571">
        <v>4</v>
      </c>
      <c r="E571">
        <v>10</v>
      </c>
      <c r="F571">
        <v>6</v>
      </c>
      <c r="G571" s="2" t="s">
        <v>55</v>
      </c>
      <c r="H571" s="2" t="s">
        <v>26</v>
      </c>
      <c r="I571" s="2" t="s">
        <v>56</v>
      </c>
      <c r="J571" s="2" t="s">
        <v>57</v>
      </c>
      <c r="K571" s="2" t="s">
        <v>51</v>
      </c>
      <c r="L571">
        <v>13</v>
      </c>
      <c r="M571">
        <v>1991.42</v>
      </c>
      <c r="N571">
        <v>25888.46</v>
      </c>
      <c r="O571" t="s">
        <v>22</v>
      </c>
      <c r="P571" s="2" t="s">
        <v>30</v>
      </c>
      <c r="Q571" s="2" t="s">
        <v>24</v>
      </c>
    </row>
    <row r="572" spans="1:17" x14ac:dyDescent="0.3">
      <c r="A572">
        <v>202400508</v>
      </c>
      <c r="B572" s="1">
        <v>45313</v>
      </c>
      <c r="C572">
        <v>2024</v>
      </c>
      <c r="D572">
        <v>1</v>
      </c>
      <c r="E572">
        <v>1</v>
      </c>
      <c r="F572">
        <v>46</v>
      </c>
      <c r="G572" s="2" t="s">
        <v>88</v>
      </c>
      <c r="H572" s="2" t="s">
        <v>26</v>
      </c>
      <c r="I572" s="2" t="s">
        <v>85</v>
      </c>
      <c r="J572" s="2" t="s">
        <v>57</v>
      </c>
      <c r="K572" s="2" t="s">
        <v>28</v>
      </c>
      <c r="L572">
        <v>10</v>
      </c>
      <c r="M572">
        <v>235.78</v>
      </c>
      <c r="N572">
        <v>2357.8000000000002</v>
      </c>
      <c r="O572" t="s">
        <v>22</v>
      </c>
      <c r="P572" s="2" t="s">
        <v>43</v>
      </c>
      <c r="Q572" s="2" t="s">
        <v>24</v>
      </c>
    </row>
    <row r="573" spans="1:17" x14ac:dyDescent="0.3">
      <c r="A573">
        <v>202401011</v>
      </c>
      <c r="B573" s="1">
        <v>45319</v>
      </c>
      <c r="C573">
        <v>2024</v>
      </c>
      <c r="D573">
        <v>1</v>
      </c>
      <c r="E573">
        <v>1</v>
      </c>
      <c r="F573">
        <v>19</v>
      </c>
      <c r="G573" s="2" t="s">
        <v>122</v>
      </c>
      <c r="H573" s="2" t="s">
        <v>26</v>
      </c>
      <c r="I573" s="2" t="s">
        <v>38</v>
      </c>
      <c r="J573" s="2" t="s">
        <v>20</v>
      </c>
      <c r="K573" s="2" t="s">
        <v>28</v>
      </c>
      <c r="L573">
        <v>8</v>
      </c>
      <c r="M573">
        <v>326.77</v>
      </c>
      <c r="N573">
        <v>2614.16</v>
      </c>
      <c r="O573" t="s">
        <v>29</v>
      </c>
      <c r="P573" s="2" t="s">
        <v>43</v>
      </c>
      <c r="Q573" s="2" t="s">
        <v>24</v>
      </c>
    </row>
    <row r="574" spans="1:17" hidden="1" x14ac:dyDescent="0.3">
      <c r="A574">
        <v>202400505</v>
      </c>
      <c r="B574" s="1">
        <v>45597</v>
      </c>
      <c r="C574">
        <v>2024</v>
      </c>
      <c r="D574">
        <v>4</v>
      </c>
      <c r="E574">
        <v>11</v>
      </c>
      <c r="F574">
        <v>54</v>
      </c>
      <c r="G574" s="2" t="s">
        <v>68</v>
      </c>
      <c r="H574" s="2" t="s">
        <v>69</v>
      </c>
      <c r="I574" s="2" t="s">
        <v>19</v>
      </c>
      <c r="J574" s="2" t="s">
        <v>20</v>
      </c>
      <c r="K574" s="2" t="s">
        <v>52</v>
      </c>
      <c r="L574">
        <v>13</v>
      </c>
      <c r="M574">
        <v>1058.22</v>
      </c>
      <c r="N574">
        <v>13756.86</v>
      </c>
      <c r="O574" t="s">
        <v>22</v>
      </c>
      <c r="P574" s="2" t="s">
        <v>48</v>
      </c>
      <c r="Q574" s="2" t="s">
        <v>24</v>
      </c>
    </row>
    <row r="575" spans="1:17" x14ac:dyDescent="0.3">
      <c r="A575">
        <v>202400733</v>
      </c>
      <c r="B575" s="1">
        <v>45378</v>
      </c>
      <c r="C575">
        <v>2024</v>
      </c>
      <c r="D575">
        <v>1</v>
      </c>
      <c r="E575">
        <v>3</v>
      </c>
      <c r="F575">
        <v>5</v>
      </c>
      <c r="G575" s="2" t="s">
        <v>121</v>
      </c>
      <c r="H575" s="2" t="s">
        <v>62</v>
      </c>
      <c r="I575" s="2" t="s">
        <v>27</v>
      </c>
      <c r="J575" s="2" t="s">
        <v>20</v>
      </c>
      <c r="K575" s="2" t="s">
        <v>42</v>
      </c>
      <c r="L575">
        <v>10</v>
      </c>
      <c r="M575">
        <v>66.95</v>
      </c>
      <c r="N575">
        <v>669.5</v>
      </c>
      <c r="O575" t="s">
        <v>22</v>
      </c>
      <c r="P575" s="2" t="s">
        <v>30</v>
      </c>
      <c r="Q575" s="2" t="s">
        <v>24</v>
      </c>
    </row>
    <row r="576" spans="1:17" hidden="1" x14ac:dyDescent="0.3">
      <c r="A576">
        <v>202400348</v>
      </c>
      <c r="B576" s="1">
        <v>45656</v>
      </c>
      <c r="C576">
        <v>2024</v>
      </c>
      <c r="D576">
        <v>4</v>
      </c>
      <c r="E576">
        <v>12</v>
      </c>
      <c r="F576">
        <v>74</v>
      </c>
      <c r="G576" s="2" t="s">
        <v>102</v>
      </c>
      <c r="H576" s="2" t="s">
        <v>140</v>
      </c>
      <c r="I576" s="2" t="s">
        <v>27</v>
      </c>
      <c r="J576" s="2" t="s">
        <v>20</v>
      </c>
      <c r="K576" s="2" t="s">
        <v>97</v>
      </c>
      <c r="L576">
        <v>12</v>
      </c>
      <c r="M576">
        <v>1994.84</v>
      </c>
      <c r="N576">
        <v>23938.079999999998</v>
      </c>
      <c r="O576" t="s">
        <v>22</v>
      </c>
      <c r="P576" s="2" t="s">
        <v>43</v>
      </c>
      <c r="Q576" s="2" t="s">
        <v>31</v>
      </c>
    </row>
    <row r="577" spans="1:17" hidden="1" x14ac:dyDescent="0.3">
      <c r="A577">
        <v>202400387</v>
      </c>
      <c r="B577" s="1">
        <v>45387</v>
      </c>
      <c r="C577">
        <v>2024</v>
      </c>
      <c r="D577">
        <v>2</v>
      </c>
      <c r="E577">
        <v>4</v>
      </c>
      <c r="F577">
        <v>73</v>
      </c>
      <c r="G577" s="2" t="s">
        <v>111</v>
      </c>
      <c r="H577" s="2" t="s">
        <v>26</v>
      </c>
      <c r="I577" s="2" t="s">
        <v>27</v>
      </c>
      <c r="J577" s="2" t="s">
        <v>20</v>
      </c>
      <c r="K577" s="2" t="s">
        <v>71</v>
      </c>
      <c r="L577">
        <v>3</v>
      </c>
      <c r="M577">
        <v>1655.25</v>
      </c>
      <c r="N577">
        <v>4965.75</v>
      </c>
      <c r="O577" t="s">
        <v>29</v>
      </c>
      <c r="P577" s="2" t="s">
        <v>43</v>
      </c>
      <c r="Q577" s="2" t="s">
        <v>24</v>
      </c>
    </row>
    <row r="578" spans="1:17" hidden="1" x14ac:dyDescent="0.3">
      <c r="A578">
        <v>202400001</v>
      </c>
      <c r="B578" s="1">
        <v>45626</v>
      </c>
      <c r="C578">
        <v>2024</v>
      </c>
      <c r="D578">
        <v>4</v>
      </c>
      <c r="E578">
        <v>11</v>
      </c>
      <c r="F578">
        <v>10</v>
      </c>
      <c r="G578" s="2" t="s">
        <v>17</v>
      </c>
      <c r="H578" s="2" t="s">
        <v>18</v>
      </c>
      <c r="I578" s="2" t="s">
        <v>19</v>
      </c>
      <c r="J578" s="2" t="s">
        <v>20</v>
      </c>
      <c r="K578" s="2" t="s">
        <v>21</v>
      </c>
      <c r="L578">
        <v>10</v>
      </c>
      <c r="M578">
        <v>1443.52</v>
      </c>
      <c r="N578">
        <v>14435.2</v>
      </c>
      <c r="O578" t="s">
        <v>22</v>
      </c>
      <c r="P578" s="2" t="s">
        <v>30</v>
      </c>
      <c r="Q578" s="2" t="s">
        <v>24</v>
      </c>
    </row>
    <row r="579" spans="1:17" x14ac:dyDescent="0.3">
      <c r="A579">
        <v>202400361</v>
      </c>
      <c r="B579" s="1">
        <v>45312</v>
      </c>
      <c r="C579">
        <v>2024</v>
      </c>
      <c r="D579">
        <v>1</v>
      </c>
      <c r="E579">
        <v>1</v>
      </c>
      <c r="F579">
        <v>69</v>
      </c>
      <c r="G579" s="2" t="s">
        <v>98</v>
      </c>
      <c r="H579" s="2" t="s">
        <v>62</v>
      </c>
      <c r="I579" s="2" t="s">
        <v>67</v>
      </c>
      <c r="J579" s="2" t="s">
        <v>20</v>
      </c>
      <c r="K579" s="2" t="s">
        <v>59</v>
      </c>
      <c r="L579">
        <v>14</v>
      </c>
      <c r="M579">
        <v>1540.87</v>
      </c>
      <c r="N579">
        <v>21572.18</v>
      </c>
      <c r="O579" t="s">
        <v>22</v>
      </c>
      <c r="P579" s="2" t="s">
        <v>48</v>
      </c>
      <c r="Q579" s="2" t="s">
        <v>24</v>
      </c>
    </row>
    <row r="580" spans="1:17" hidden="1" x14ac:dyDescent="0.3">
      <c r="A580">
        <v>202400476</v>
      </c>
      <c r="B580" s="1">
        <v>45427</v>
      </c>
      <c r="C580">
        <v>2024</v>
      </c>
      <c r="D580">
        <v>2</v>
      </c>
      <c r="E580">
        <v>5</v>
      </c>
      <c r="F580">
        <v>4</v>
      </c>
      <c r="G580" s="2" t="s">
        <v>110</v>
      </c>
      <c r="H580" s="2" t="s">
        <v>69</v>
      </c>
      <c r="I580" s="2" t="s">
        <v>78</v>
      </c>
      <c r="J580" s="2" t="s">
        <v>75</v>
      </c>
      <c r="K580" s="2" t="s">
        <v>28</v>
      </c>
      <c r="L580">
        <v>12</v>
      </c>
      <c r="M580">
        <v>1692.33</v>
      </c>
      <c r="N580">
        <v>20307.96</v>
      </c>
      <c r="O580" t="s">
        <v>22</v>
      </c>
      <c r="P580" s="2" t="s">
        <v>48</v>
      </c>
      <c r="Q580" s="2" t="s">
        <v>45</v>
      </c>
    </row>
    <row r="581" spans="1:17" hidden="1" x14ac:dyDescent="0.3">
      <c r="A581">
        <v>202401097</v>
      </c>
      <c r="B581" s="1">
        <v>45532</v>
      </c>
      <c r="C581">
        <v>2024</v>
      </c>
      <c r="D581">
        <v>3</v>
      </c>
      <c r="E581">
        <v>8</v>
      </c>
      <c r="F581">
        <v>45</v>
      </c>
      <c r="G581" s="2" t="s">
        <v>103</v>
      </c>
      <c r="H581" s="2" t="s">
        <v>26</v>
      </c>
      <c r="I581" s="2" t="s">
        <v>56</v>
      </c>
      <c r="J581" s="2" t="s">
        <v>57</v>
      </c>
      <c r="K581" s="2" t="s">
        <v>70</v>
      </c>
      <c r="L581">
        <v>9</v>
      </c>
      <c r="M581">
        <v>314.76</v>
      </c>
      <c r="N581">
        <v>2832.84</v>
      </c>
      <c r="O581" t="s">
        <v>29</v>
      </c>
      <c r="P581" s="2" t="s">
        <v>23</v>
      </c>
      <c r="Q581" s="2" t="s">
        <v>31</v>
      </c>
    </row>
    <row r="582" spans="1:17" hidden="1" x14ac:dyDescent="0.3">
      <c r="A582">
        <v>202400771</v>
      </c>
      <c r="B582" s="1">
        <v>45651</v>
      </c>
      <c r="C582">
        <v>2024</v>
      </c>
      <c r="D582">
        <v>4</v>
      </c>
      <c r="E582">
        <v>12</v>
      </c>
      <c r="F582">
        <v>53</v>
      </c>
      <c r="G582" s="2" t="s">
        <v>113</v>
      </c>
      <c r="H582" s="2" t="s">
        <v>26</v>
      </c>
      <c r="I582" s="2" t="s">
        <v>27</v>
      </c>
      <c r="J582" s="2" t="s">
        <v>20</v>
      </c>
      <c r="K582" s="2" t="s">
        <v>21</v>
      </c>
      <c r="L582">
        <v>14</v>
      </c>
      <c r="M582">
        <v>1635.72</v>
      </c>
      <c r="N582">
        <v>22900.080000000002</v>
      </c>
      <c r="O582" t="s">
        <v>22</v>
      </c>
      <c r="P582" s="2" t="s">
        <v>30</v>
      </c>
      <c r="Q582" s="2" t="s">
        <v>24</v>
      </c>
    </row>
    <row r="583" spans="1:17" x14ac:dyDescent="0.3">
      <c r="A583">
        <v>202400173</v>
      </c>
      <c r="B583" s="1">
        <v>45297</v>
      </c>
      <c r="C583">
        <v>2024</v>
      </c>
      <c r="D583">
        <v>1</v>
      </c>
      <c r="E583">
        <v>1</v>
      </c>
      <c r="F583">
        <v>7</v>
      </c>
      <c r="G583" s="2" t="s">
        <v>25</v>
      </c>
      <c r="H583" s="2" t="s">
        <v>26</v>
      </c>
      <c r="I583" s="2" t="s">
        <v>27</v>
      </c>
      <c r="J583" s="2" t="s">
        <v>20</v>
      </c>
      <c r="K583" s="2" t="s">
        <v>71</v>
      </c>
      <c r="L583">
        <v>5</v>
      </c>
      <c r="M583">
        <v>725.83</v>
      </c>
      <c r="N583">
        <v>3629.15</v>
      </c>
      <c r="O583" t="s">
        <v>29</v>
      </c>
      <c r="P583" s="2" t="s">
        <v>48</v>
      </c>
      <c r="Q583" s="2" t="s">
        <v>41</v>
      </c>
    </row>
    <row r="584" spans="1:17" x14ac:dyDescent="0.3">
      <c r="A584">
        <v>202400451</v>
      </c>
      <c r="B584" s="1">
        <v>45319</v>
      </c>
      <c r="C584">
        <v>2024</v>
      </c>
      <c r="D584">
        <v>1</v>
      </c>
      <c r="E584">
        <v>1</v>
      </c>
      <c r="F584">
        <v>33</v>
      </c>
      <c r="G584" s="2" t="s">
        <v>133</v>
      </c>
      <c r="H584" s="2" t="s">
        <v>140</v>
      </c>
      <c r="I584" s="2" t="s">
        <v>33</v>
      </c>
      <c r="J584" s="2" t="s">
        <v>34</v>
      </c>
      <c r="K584" s="2" t="s">
        <v>39</v>
      </c>
      <c r="L584">
        <v>8</v>
      </c>
      <c r="M584">
        <v>430.67</v>
      </c>
      <c r="N584">
        <v>3445.36</v>
      </c>
      <c r="O584" t="s">
        <v>29</v>
      </c>
      <c r="P584" s="2" t="s">
        <v>30</v>
      </c>
      <c r="Q584" s="2" t="s">
        <v>24</v>
      </c>
    </row>
    <row r="585" spans="1:17" x14ac:dyDescent="0.3">
      <c r="A585">
        <v>202400126</v>
      </c>
      <c r="B585" s="1">
        <v>45332</v>
      </c>
      <c r="C585">
        <v>2024</v>
      </c>
      <c r="D585">
        <v>1</v>
      </c>
      <c r="E585">
        <v>2</v>
      </c>
      <c r="F585">
        <v>40</v>
      </c>
      <c r="G585" s="2" t="s">
        <v>125</v>
      </c>
      <c r="H585" s="2" t="s">
        <v>69</v>
      </c>
      <c r="I585" s="2" t="s">
        <v>126</v>
      </c>
      <c r="J585" s="2" t="s">
        <v>20</v>
      </c>
      <c r="K585" s="2" t="s">
        <v>58</v>
      </c>
      <c r="L585">
        <v>8</v>
      </c>
      <c r="M585">
        <v>1601.55</v>
      </c>
      <c r="N585">
        <v>12812.4</v>
      </c>
      <c r="O585" t="s">
        <v>29</v>
      </c>
      <c r="P585" s="2" t="s">
        <v>43</v>
      </c>
      <c r="Q585" s="2" t="s">
        <v>24</v>
      </c>
    </row>
    <row r="586" spans="1:17" x14ac:dyDescent="0.3">
      <c r="A586">
        <v>202400853</v>
      </c>
      <c r="B586" s="1">
        <v>45324</v>
      </c>
      <c r="C586">
        <v>2024</v>
      </c>
      <c r="D586">
        <v>1</v>
      </c>
      <c r="E586">
        <v>2</v>
      </c>
      <c r="F586">
        <v>1</v>
      </c>
      <c r="G586" s="2" t="s">
        <v>17</v>
      </c>
      <c r="H586" s="2" t="s">
        <v>26</v>
      </c>
      <c r="I586" s="2" t="s">
        <v>78</v>
      </c>
      <c r="J586" s="2" t="s">
        <v>75</v>
      </c>
      <c r="K586" s="2" t="s">
        <v>35</v>
      </c>
      <c r="L586">
        <v>9</v>
      </c>
      <c r="M586">
        <v>759.3</v>
      </c>
      <c r="N586">
        <v>6833.7</v>
      </c>
      <c r="O586" t="s">
        <v>29</v>
      </c>
      <c r="P586" s="2" t="s">
        <v>43</v>
      </c>
      <c r="Q586" s="2" t="s">
        <v>24</v>
      </c>
    </row>
    <row r="587" spans="1:17" hidden="1" x14ac:dyDescent="0.3">
      <c r="A587">
        <v>202400531</v>
      </c>
      <c r="B587" s="1">
        <v>45498</v>
      </c>
      <c r="C587">
        <v>2024</v>
      </c>
      <c r="D587">
        <v>3</v>
      </c>
      <c r="E587">
        <v>7</v>
      </c>
      <c r="F587">
        <v>46</v>
      </c>
      <c r="G587" s="2" t="s">
        <v>88</v>
      </c>
      <c r="H587" s="2" t="s">
        <v>26</v>
      </c>
      <c r="I587" s="2" t="s">
        <v>85</v>
      </c>
      <c r="J587" s="2" t="s">
        <v>57</v>
      </c>
      <c r="K587" s="2" t="s">
        <v>58</v>
      </c>
      <c r="L587">
        <v>6</v>
      </c>
      <c r="M587">
        <v>374.92</v>
      </c>
      <c r="N587">
        <v>2249.52</v>
      </c>
      <c r="O587" t="s">
        <v>29</v>
      </c>
      <c r="P587" s="2" t="s">
        <v>43</v>
      </c>
      <c r="Q587" s="2" t="s">
        <v>24</v>
      </c>
    </row>
    <row r="588" spans="1:17" x14ac:dyDescent="0.3">
      <c r="A588">
        <v>202400091</v>
      </c>
      <c r="B588" s="1">
        <v>45321</v>
      </c>
      <c r="C588">
        <v>2024</v>
      </c>
      <c r="D588">
        <v>1</v>
      </c>
      <c r="E588">
        <v>1</v>
      </c>
      <c r="F588">
        <v>36</v>
      </c>
      <c r="G588" s="2" t="s">
        <v>123</v>
      </c>
      <c r="H588" s="2" t="s">
        <v>62</v>
      </c>
      <c r="I588" s="2" t="s">
        <v>54</v>
      </c>
      <c r="J588" s="2" t="s">
        <v>20</v>
      </c>
      <c r="K588" s="2" t="s">
        <v>59</v>
      </c>
      <c r="L588">
        <v>9</v>
      </c>
      <c r="M588">
        <v>870.3</v>
      </c>
      <c r="N588">
        <v>7832.7</v>
      </c>
      <c r="O588" t="s">
        <v>29</v>
      </c>
      <c r="P588" s="2" t="s">
        <v>48</v>
      </c>
      <c r="Q588" s="2" t="s">
        <v>41</v>
      </c>
    </row>
    <row r="589" spans="1:17" hidden="1" x14ac:dyDescent="0.3">
      <c r="A589">
        <v>202401173</v>
      </c>
      <c r="B589" s="1">
        <v>45652</v>
      </c>
      <c r="C589">
        <v>2024</v>
      </c>
      <c r="D589">
        <v>4</v>
      </c>
      <c r="E589">
        <v>12</v>
      </c>
      <c r="F589">
        <v>13</v>
      </c>
      <c r="G589" s="2" t="s">
        <v>72</v>
      </c>
      <c r="H589" s="2" t="s">
        <v>69</v>
      </c>
      <c r="I589" s="2" t="s">
        <v>38</v>
      </c>
      <c r="J589" s="2" t="s">
        <v>20</v>
      </c>
      <c r="K589" s="2" t="s">
        <v>59</v>
      </c>
      <c r="L589">
        <v>7</v>
      </c>
      <c r="M589">
        <v>327.71</v>
      </c>
      <c r="N589">
        <v>2293.9699999999998</v>
      </c>
      <c r="O589" t="s">
        <v>29</v>
      </c>
      <c r="P589" s="2" t="s">
        <v>43</v>
      </c>
      <c r="Q589" s="2" t="s">
        <v>41</v>
      </c>
    </row>
    <row r="590" spans="1:17" hidden="1" x14ac:dyDescent="0.3">
      <c r="A590">
        <v>202400182</v>
      </c>
      <c r="B590" s="1">
        <v>45530</v>
      </c>
      <c r="C590">
        <v>2024</v>
      </c>
      <c r="D590">
        <v>3</v>
      </c>
      <c r="E590">
        <v>8</v>
      </c>
      <c r="F590">
        <v>62</v>
      </c>
      <c r="G590" s="2" t="s">
        <v>118</v>
      </c>
      <c r="H590" s="2" t="s">
        <v>18</v>
      </c>
      <c r="I590" s="2" t="s">
        <v>54</v>
      </c>
      <c r="J590" s="2" t="s">
        <v>20</v>
      </c>
      <c r="K590" s="2" t="s">
        <v>35</v>
      </c>
      <c r="L590">
        <v>13</v>
      </c>
      <c r="M590">
        <v>567.66999999999996</v>
      </c>
      <c r="N590">
        <v>7379.7099999999991</v>
      </c>
      <c r="O590" t="s">
        <v>22</v>
      </c>
      <c r="P590" s="2" t="s">
        <v>43</v>
      </c>
      <c r="Q590" s="2" t="s">
        <v>24</v>
      </c>
    </row>
    <row r="591" spans="1:17" hidden="1" x14ac:dyDescent="0.3">
      <c r="A591">
        <v>202400701</v>
      </c>
      <c r="B591" s="1">
        <v>45596</v>
      </c>
      <c r="C591">
        <v>2024</v>
      </c>
      <c r="D591">
        <v>4</v>
      </c>
      <c r="E591">
        <v>10</v>
      </c>
      <c r="F591">
        <v>61</v>
      </c>
      <c r="G591" s="2" t="s">
        <v>90</v>
      </c>
      <c r="H591" s="2" t="s">
        <v>69</v>
      </c>
      <c r="I591" s="2" t="s">
        <v>65</v>
      </c>
      <c r="J591" s="2" t="s">
        <v>34</v>
      </c>
      <c r="K591" s="2" t="s">
        <v>28</v>
      </c>
      <c r="L591">
        <v>10</v>
      </c>
      <c r="M591">
        <v>794.02</v>
      </c>
      <c r="N591">
        <v>7940.2</v>
      </c>
      <c r="O591" t="s">
        <v>22</v>
      </c>
      <c r="P591" s="2" t="s">
        <v>48</v>
      </c>
      <c r="Q591" s="2" t="s">
        <v>40</v>
      </c>
    </row>
    <row r="592" spans="1:17" x14ac:dyDescent="0.3">
      <c r="A592">
        <v>202401024</v>
      </c>
      <c r="B592" s="1">
        <v>45343</v>
      </c>
      <c r="C592">
        <v>2024</v>
      </c>
      <c r="D592">
        <v>1</v>
      </c>
      <c r="E592">
        <v>2</v>
      </c>
      <c r="F592">
        <v>72</v>
      </c>
      <c r="G592" s="2" t="s">
        <v>100</v>
      </c>
      <c r="H592" s="2" t="s">
        <v>140</v>
      </c>
      <c r="I592" s="2" t="s">
        <v>33</v>
      </c>
      <c r="J592" s="2" t="s">
        <v>34</v>
      </c>
      <c r="K592" s="2" t="s">
        <v>60</v>
      </c>
      <c r="L592">
        <v>13</v>
      </c>
      <c r="M592">
        <v>670.18</v>
      </c>
      <c r="N592">
        <v>8712.34</v>
      </c>
      <c r="O592" t="s">
        <v>22</v>
      </c>
      <c r="P592" s="2" t="s">
        <v>43</v>
      </c>
      <c r="Q592" s="2" t="s">
        <v>24</v>
      </c>
    </row>
    <row r="593" spans="1:17" hidden="1" x14ac:dyDescent="0.3">
      <c r="A593">
        <v>202400252</v>
      </c>
      <c r="B593" s="1">
        <v>45420</v>
      </c>
      <c r="C593">
        <v>2024</v>
      </c>
      <c r="D593">
        <v>2</v>
      </c>
      <c r="E593">
        <v>5</v>
      </c>
      <c r="F593">
        <v>31</v>
      </c>
      <c r="G593" s="2" t="s">
        <v>127</v>
      </c>
      <c r="H593" s="2" t="s">
        <v>69</v>
      </c>
      <c r="I593" s="2" t="s">
        <v>54</v>
      </c>
      <c r="J593" s="2" t="s">
        <v>20</v>
      </c>
      <c r="K593" s="2" t="s">
        <v>97</v>
      </c>
      <c r="L593">
        <v>10</v>
      </c>
      <c r="M593">
        <v>910.96</v>
      </c>
      <c r="N593">
        <v>9109.6</v>
      </c>
      <c r="O593" t="s">
        <v>22</v>
      </c>
      <c r="P593" s="2" t="s">
        <v>43</v>
      </c>
      <c r="Q593" s="2" t="s">
        <v>24</v>
      </c>
    </row>
    <row r="594" spans="1:17" hidden="1" x14ac:dyDescent="0.3">
      <c r="A594">
        <v>202400070</v>
      </c>
      <c r="B594" s="1">
        <v>45597</v>
      </c>
      <c r="C594">
        <v>2024</v>
      </c>
      <c r="D594">
        <v>4</v>
      </c>
      <c r="E594">
        <v>11</v>
      </c>
      <c r="F594">
        <v>34</v>
      </c>
      <c r="G594" s="2" t="s">
        <v>95</v>
      </c>
      <c r="H594" s="2" t="s">
        <v>18</v>
      </c>
      <c r="I594" s="2" t="s">
        <v>54</v>
      </c>
      <c r="J594" s="2" t="s">
        <v>20</v>
      </c>
      <c r="K594" s="2" t="s">
        <v>70</v>
      </c>
      <c r="L594">
        <v>9</v>
      </c>
      <c r="M594">
        <v>1841.37</v>
      </c>
      <c r="N594">
        <v>16572.329999999998</v>
      </c>
      <c r="O594" t="s">
        <v>29</v>
      </c>
      <c r="P594" s="2" t="s">
        <v>30</v>
      </c>
      <c r="Q594" s="2" t="s">
        <v>40</v>
      </c>
    </row>
    <row r="595" spans="1:17" hidden="1" x14ac:dyDescent="0.3">
      <c r="A595">
        <v>202400132</v>
      </c>
      <c r="B595" s="1">
        <v>45494</v>
      </c>
      <c r="C595">
        <v>2024</v>
      </c>
      <c r="D595">
        <v>3</v>
      </c>
      <c r="E595">
        <v>7</v>
      </c>
      <c r="F595">
        <v>25</v>
      </c>
      <c r="G595" s="2" t="s">
        <v>117</v>
      </c>
      <c r="H595" s="2" t="s">
        <v>26</v>
      </c>
      <c r="I595" s="2" t="s">
        <v>27</v>
      </c>
      <c r="J595" s="2" t="s">
        <v>20</v>
      </c>
      <c r="K595" s="2" t="s">
        <v>47</v>
      </c>
      <c r="L595">
        <v>5</v>
      </c>
      <c r="M595">
        <v>1512.33</v>
      </c>
      <c r="N595">
        <v>7561.65</v>
      </c>
      <c r="O595" t="s">
        <v>29</v>
      </c>
      <c r="P595" s="2" t="s">
        <v>43</v>
      </c>
      <c r="Q595" s="2" t="s">
        <v>24</v>
      </c>
    </row>
    <row r="596" spans="1:17" hidden="1" x14ac:dyDescent="0.3">
      <c r="A596">
        <v>202400301</v>
      </c>
      <c r="B596" s="1">
        <v>45513</v>
      </c>
      <c r="C596">
        <v>2024</v>
      </c>
      <c r="D596">
        <v>3</v>
      </c>
      <c r="E596">
        <v>8</v>
      </c>
      <c r="F596">
        <v>46</v>
      </c>
      <c r="G596" s="2" t="s">
        <v>88</v>
      </c>
      <c r="H596" s="2" t="s">
        <v>26</v>
      </c>
      <c r="I596" s="2" t="s">
        <v>85</v>
      </c>
      <c r="J596" s="2" t="s">
        <v>57</v>
      </c>
      <c r="K596" s="2" t="s">
        <v>70</v>
      </c>
      <c r="L596">
        <v>4</v>
      </c>
      <c r="M596">
        <v>271.13</v>
      </c>
      <c r="N596">
        <v>1084.52</v>
      </c>
      <c r="O596" t="s">
        <v>29</v>
      </c>
      <c r="P596" s="2" t="s">
        <v>30</v>
      </c>
      <c r="Q596" s="2" t="s">
        <v>40</v>
      </c>
    </row>
    <row r="597" spans="1:17" x14ac:dyDescent="0.3">
      <c r="A597">
        <v>202400327</v>
      </c>
      <c r="B597" s="1">
        <v>45351</v>
      </c>
      <c r="C597">
        <v>2024</v>
      </c>
      <c r="D597">
        <v>1</v>
      </c>
      <c r="E597">
        <v>2</v>
      </c>
      <c r="F597">
        <v>26</v>
      </c>
      <c r="G597" s="2" t="s">
        <v>89</v>
      </c>
      <c r="H597" s="2" t="s">
        <v>62</v>
      </c>
      <c r="I597" s="2" t="s">
        <v>67</v>
      </c>
      <c r="J597" s="2" t="s">
        <v>20</v>
      </c>
      <c r="K597" s="2" t="s">
        <v>60</v>
      </c>
      <c r="L597">
        <v>14</v>
      </c>
      <c r="M597">
        <v>146.16999999999999</v>
      </c>
      <c r="N597">
        <v>2046.3799999999999</v>
      </c>
      <c r="O597" t="s">
        <v>22</v>
      </c>
      <c r="P597" s="2" t="s">
        <v>23</v>
      </c>
      <c r="Q597" s="2" t="s">
        <v>40</v>
      </c>
    </row>
    <row r="598" spans="1:17" hidden="1" x14ac:dyDescent="0.3">
      <c r="A598">
        <v>202401186</v>
      </c>
      <c r="B598" s="1">
        <v>45435</v>
      </c>
      <c r="C598">
        <v>2024</v>
      </c>
      <c r="D598">
        <v>2</v>
      </c>
      <c r="E598">
        <v>5</v>
      </c>
      <c r="F598">
        <v>42</v>
      </c>
      <c r="G598" s="2" t="s">
        <v>46</v>
      </c>
      <c r="H598" s="2" t="s">
        <v>26</v>
      </c>
      <c r="I598" s="2" t="s">
        <v>38</v>
      </c>
      <c r="J598" s="2" t="s">
        <v>20</v>
      </c>
      <c r="K598" s="2" t="s">
        <v>59</v>
      </c>
      <c r="L598">
        <v>10</v>
      </c>
      <c r="M598">
        <v>1964.9</v>
      </c>
      <c r="N598">
        <v>19649</v>
      </c>
      <c r="O598" t="s">
        <v>22</v>
      </c>
      <c r="P598" s="2" t="s">
        <v>48</v>
      </c>
      <c r="Q598" s="2" t="s">
        <v>24</v>
      </c>
    </row>
    <row r="599" spans="1:17" hidden="1" x14ac:dyDescent="0.3">
      <c r="A599">
        <v>202400500</v>
      </c>
      <c r="B599" s="1">
        <v>45409</v>
      </c>
      <c r="C599">
        <v>2024</v>
      </c>
      <c r="D599">
        <v>2</v>
      </c>
      <c r="E599">
        <v>4</v>
      </c>
      <c r="F599">
        <v>76</v>
      </c>
      <c r="G599" s="2" t="s">
        <v>104</v>
      </c>
      <c r="H599" s="2" t="s">
        <v>140</v>
      </c>
      <c r="I599" s="2" t="s">
        <v>33</v>
      </c>
      <c r="J599" s="2" t="s">
        <v>34</v>
      </c>
      <c r="K599" s="2" t="s">
        <v>35</v>
      </c>
      <c r="L599">
        <v>13</v>
      </c>
      <c r="M599">
        <v>109.66</v>
      </c>
      <c r="N599">
        <v>1425.58</v>
      </c>
      <c r="O599" t="s">
        <v>22</v>
      </c>
      <c r="P599" s="2" t="s">
        <v>30</v>
      </c>
      <c r="Q599" s="2" t="s">
        <v>31</v>
      </c>
    </row>
    <row r="600" spans="1:17" hidden="1" x14ac:dyDescent="0.3">
      <c r="A600">
        <v>202400830</v>
      </c>
      <c r="B600" s="1">
        <v>45455</v>
      </c>
      <c r="C600">
        <v>2024</v>
      </c>
      <c r="D600">
        <v>2</v>
      </c>
      <c r="E600">
        <v>6</v>
      </c>
      <c r="F600">
        <v>32</v>
      </c>
      <c r="G600" s="2" t="s">
        <v>93</v>
      </c>
      <c r="H600" s="2" t="s">
        <v>26</v>
      </c>
      <c r="I600" s="2" t="s">
        <v>65</v>
      </c>
      <c r="J600" s="2" t="s">
        <v>34</v>
      </c>
      <c r="K600" s="2" t="s">
        <v>39</v>
      </c>
      <c r="L600">
        <v>5</v>
      </c>
      <c r="M600">
        <v>1164.6600000000001</v>
      </c>
      <c r="N600">
        <v>5823.3</v>
      </c>
      <c r="O600" t="s">
        <v>29</v>
      </c>
      <c r="P600" s="2" t="s">
        <v>30</v>
      </c>
      <c r="Q600" s="2" t="s">
        <v>45</v>
      </c>
    </row>
    <row r="601" spans="1:17" hidden="1" x14ac:dyDescent="0.3">
      <c r="A601">
        <v>202400496</v>
      </c>
      <c r="B601" s="1">
        <v>45410</v>
      </c>
      <c r="C601">
        <v>2024</v>
      </c>
      <c r="D601">
        <v>2</v>
      </c>
      <c r="E601">
        <v>4</v>
      </c>
      <c r="F601">
        <v>53</v>
      </c>
      <c r="G601" s="2" t="s">
        <v>113</v>
      </c>
      <c r="H601" s="2" t="s">
        <v>26</v>
      </c>
      <c r="I601" s="2" t="s">
        <v>27</v>
      </c>
      <c r="J601" s="2" t="s">
        <v>20</v>
      </c>
      <c r="K601" s="2" t="s">
        <v>21</v>
      </c>
      <c r="L601">
        <v>4</v>
      </c>
      <c r="M601">
        <v>1878.96</v>
      </c>
      <c r="N601">
        <v>7515.84</v>
      </c>
      <c r="O601" t="s">
        <v>29</v>
      </c>
      <c r="P601" s="2" t="s">
        <v>30</v>
      </c>
      <c r="Q601" s="2" t="s">
        <v>24</v>
      </c>
    </row>
    <row r="602" spans="1:17" hidden="1" x14ac:dyDescent="0.3">
      <c r="A602">
        <v>202400339</v>
      </c>
      <c r="B602" s="1">
        <v>45633</v>
      </c>
      <c r="C602">
        <v>2024</v>
      </c>
      <c r="D602">
        <v>4</v>
      </c>
      <c r="E602">
        <v>12</v>
      </c>
      <c r="F602">
        <v>10</v>
      </c>
      <c r="G602" s="2" t="s">
        <v>17</v>
      </c>
      <c r="H602" s="2" t="s">
        <v>18</v>
      </c>
      <c r="I602" s="2" t="s">
        <v>19</v>
      </c>
      <c r="J602" s="2" t="s">
        <v>20</v>
      </c>
      <c r="K602" s="2" t="s">
        <v>35</v>
      </c>
      <c r="L602">
        <v>11</v>
      </c>
      <c r="M602">
        <v>1516.9</v>
      </c>
      <c r="N602">
        <v>16685.900000000001</v>
      </c>
      <c r="O602" t="s">
        <v>22</v>
      </c>
      <c r="P602" s="2" t="s">
        <v>30</v>
      </c>
      <c r="Q602" s="2" t="s">
        <v>40</v>
      </c>
    </row>
    <row r="603" spans="1:17" x14ac:dyDescent="0.3">
      <c r="A603">
        <v>202400986</v>
      </c>
      <c r="B603" s="1">
        <v>45344</v>
      </c>
      <c r="C603">
        <v>2024</v>
      </c>
      <c r="D603">
        <v>1</v>
      </c>
      <c r="E603">
        <v>2</v>
      </c>
      <c r="F603">
        <v>67</v>
      </c>
      <c r="G603" s="2" t="s">
        <v>124</v>
      </c>
      <c r="H603" s="2" t="s">
        <v>69</v>
      </c>
      <c r="I603" s="2" t="s">
        <v>54</v>
      </c>
      <c r="J603" s="2" t="s">
        <v>20</v>
      </c>
      <c r="K603" s="2" t="s">
        <v>70</v>
      </c>
      <c r="L603">
        <v>7</v>
      </c>
      <c r="M603">
        <v>1965.18</v>
      </c>
      <c r="N603">
        <v>13756.26</v>
      </c>
      <c r="O603" t="s">
        <v>29</v>
      </c>
      <c r="P603" s="2" t="s">
        <v>43</v>
      </c>
      <c r="Q603" s="2" t="s">
        <v>45</v>
      </c>
    </row>
    <row r="604" spans="1:17" hidden="1" x14ac:dyDescent="0.3">
      <c r="A604">
        <v>202400165</v>
      </c>
      <c r="B604" s="1">
        <v>45564</v>
      </c>
      <c r="C604">
        <v>2024</v>
      </c>
      <c r="D604">
        <v>3</v>
      </c>
      <c r="E604">
        <v>9</v>
      </c>
      <c r="F604">
        <v>1</v>
      </c>
      <c r="G604" s="2" t="s">
        <v>17</v>
      </c>
      <c r="H604" s="2" t="s">
        <v>26</v>
      </c>
      <c r="I604" s="2" t="s">
        <v>78</v>
      </c>
      <c r="J604" s="2" t="s">
        <v>75</v>
      </c>
      <c r="K604" s="2" t="s">
        <v>47</v>
      </c>
      <c r="L604">
        <v>2</v>
      </c>
      <c r="M604">
        <v>59.18</v>
      </c>
      <c r="N604">
        <v>118.36</v>
      </c>
      <c r="O604" t="s">
        <v>36</v>
      </c>
      <c r="P604" s="2" t="s">
        <v>43</v>
      </c>
      <c r="Q604" s="2" t="s">
        <v>24</v>
      </c>
    </row>
    <row r="605" spans="1:17" hidden="1" x14ac:dyDescent="0.3">
      <c r="A605">
        <v>202400029</v>
      </c>
      <c r="B605" s="1">
        <v>45470</v>
      </c>
      <c r="C605">
        <v>2024</v>
      </c>
      <c r="D605">
        <v>2</v>
      </c>
      <c r="E605">
        <v>6</v>
      </c>
      <c r="F605">
        <v>37</v>
      </c>
      <c r="G605" s="2" t="s">
        <v>96</v>
      </c>
      <c r="H605" s="2" t="s">
        <v>62</v>
      </c>
      <c r="I605" s="2" t="s">
        <v>56</v>
      </c>
      <c r="J605" s="2" t="s">
        <v>57</v>
      </c>
      <c r="K605" s="2" t="s">
        <v>52</v>
      </c>
      <c r="L605">
        <v>11</v>
      </c>
      <c r="M605">
        <v>1870.06</v>
      </c>
      <c r="N605">
        <v>20570.66</v>
      </c>
      <c r="O605" t="s">
        <v>22</v>
      </c>
      <c r="P605" s="2" t="s">
        <v>48</v>
      </c>
      <c r="Q605" s="2" t="s">
        <v>24</v>
      </c>
    </row>
    <row r="606" spans="1:17" hidden="1" x14ac:dyDescent="0.3">
      <c r="A606">
        <v>202400517</v>
      </c>
      <c r="B606" s="1">
        <v>45414</v>
      </c>
      <c r="C606">
        <v>2024</v>
      </c>
      <c r="D606">
        <v>2</v>
      </c>
      <c r="E606">
        <v>5</v>
      </c>
      <c r="F606">
        <v>4</v>
      </c>
      <c r="G606" s="2" t="s">
        <v>110</v>
      </c>
      <c r="H606" s="2" t="s">
        <v>69</v>
      </c>
      <c r="I606" s="2" t="s">
        <v>78</v>
      </c>
      <c r="J606" s="2" t="s">
        <v>75</v>
      </c>
      <c r="K606" s="2" t="s">
        <v>28</v>
      </c>
      <c r="L606">
        <v>10</v>
      </c>
      <c r="M606">
        <v>1595.85</v>
      </c>
      <c r="N606">
        <v>15958.5</v>
      </c>
      <c r="O606" t="s">
        <v>22</v>
      </c>
      <c r="P606" s="2" t="s">
        <v>23</v>
      </c>
      <c r="Q606" s="2" t="s">
        <v>31</v>
      </c>
    </row>
    <row r="607" spans="1:17" x14ac:dyDescent="0.3">
      <c r="A607">
        <v>202400194</v>
      </c>
      <c r="B607" s="1">
        <v>45345</v>
      </c>
      <c r="C607">
        <v>2024</v>
      </c>
      <c r="D607">
        <v>1</v>
      </c>
      <c r="E607">
        <v>2</v>
      </c>
      <c r="F607">
        <v>37</v>
      </c>
      <c r="G607" s="2" t="s">
        <v>96</v>
      </c>
      <c r="H607" s="2" t="s">
        <v>62</v>
      </c>
      <c r="I607" s="2" t="s">
        <v>56</v>
      </c>
      <c r="J607" s="2" t="s">
        <v>57</v>
      </c>
      <c r="K607" s="2" t="s">
        <v>60</v>
      </c>
      <c r="L607">
        <v>9</v>
      </c>
      <c r="M607">
        <v>77.040000000000006</v>
      </c>
      <c r="N607">
        <v>693.36</v>
      </c>
      <c r="O607" t="s">
        <v>29</v>
      </c>
      <c r="P607" s="2" t="s">
        <v>43</v>
      </c>
      <c r="Q607" s="2" t="s">
        <v>24</v>
      </c>
    </row>
    <row r="608" spans="1:17" x14ac:dyDescent="0.3">
      <c r="A608">
        <v>202400650</v>
      </c>
      <c r="B608" s="1">
        <v>45325</v>
      </c>
      <c r="C608">
        <v>2024</v>
      </c>
      <c r="D608">
        <v>1</v>
      </c>
      <c r="E608">
        <v>2</v>
      </c>
      <c r="F608">
        <v>25</v>
      </c>
      <c r="G608" s="2" t="s">
        <v>117</v>
      </c>
      <c r="H608" s="2" t="s">
        <v>26</v>
      </c>
      <c r="I608" s="2" t="s">
        <v>27</v>
      </c>
      <c r="J608" s="2" t="s">
        <v>20</v>
      </c>
      <c r="K608" s="2" t="s">
        <v>51</v>
      </c>
      <c r="L608">
        <v>2</v>
      </c>
      <c r="M608">
        <v>1518.24</v>
      </c>
      <c r="N608">
        <v>3036.48</v>
      </c>
      <c r="O608" t="s">
        <v>36</v>
      </c>
      <c r="P608" s="2" t="s">
        <v>30</v>
      </c>
      <c r="Q608" s="2" t="s">
        <v>24</v>
      </c>
    </row>
    <row r="609" spans="1:17" hidden="1" x14ac:dyDescent="0.3">
      <c r="A609">
        <v>202400797</v>
      </c>
      <c r="B609" s="1">
        <v>45553</v>
      </c>
      <c r="C609">
        <v>2024</v>
      </c>
      <c r="D609">
        <v>3</v>
      </c>
      <c r="E609">
        <v>9</v>
      </c>
      <c r="F609">
        <v>25</v>
      </c>
      <c r="G609" s="2" t="s">
        <v>117</v>
      </c>
      <c r="H609" s="2" t="s">
        <v>26</v>
      </c>
      <c r="I609" s="2" t="s">
        <v>27</v>
      </c>
      <c r="J609" s="2" t="s">
        <v>20</v>
      </c>
      <c r="K609" s="2" t="s">
        <v>58</v>
      </c>
      <c r="L609">
        <v>13</v>
      </c>
      <c r="M609">
        <v>165.58</v>
      </c>
      <c r="N609">
        <v>2152.54</v>
      </c>
      <c r="O609" t="s">
        <v>22</v>
      </c>
      <c r="P609" s="2" t="s">
        <v>43</v>
      </c>
      <c r="Q609" s="2" t="s">
        <v>24</v>
      </c>
    </row>
    <row r="610" spans="1:17" x14ac:dyDescent="0.3">
      <c r="A610">
        <v>202400170</v>
      </c>
      <c r="B610" s="1">
        <v>45367</v>
      </c>
      <c r="C610">
        <v>2024</v>
      </c>
      <c r="D610">
        <v>1</v>
      </c>
      <c r="E610">
        <v>3</v>
      </c>
      <c r="F610">
        <v>18</v>
      </c>
      <c r="G610" s="2" t="s">
        <v>116</v>
      </c>
      <c r="H610" s="2" t="s">
        <v>62</v>
      </c>
      <c r="I610" s="2" t="s">
        <v>54</v>
      </c>
      <c r="J610" s="2" t="s">
        <v>20</v>
      </c>
      <c r="K610" s="2" t="s">
        <v>35</v>
      </c>
      <c r="L610">
        <v>8</v>
      </c>
      <c r="M610">
        <v>1484.3</v>
      </c>
      <c r="N610">
        <v>11874.4</v>
      </c>
      <c r="O610" t="s">
        <v>29</v>
      </c>
      <c r="P610" s="2" t="s">
        <v>43</v>
      </c>
      <c r="Q610" s="2" t="s">
        <v>24</v>
      </c>
    </row>
    <row r="611" spans="1:17" x14ac:dyDescent="0.3">
      <c r="A611">
        <v>202400843</v>
      </c>
      <c r="B611" s="1">
        <v>45292</v>
      </c>
      <c r="C611">
        <v>2024</v>
      </c>
      <c r="D611">
        <v>1</v>
      </c>
      <c r="E611">
        <v>1</v>
      </c>
      <c r="F611">
        <v>5</v>
      </c>
      <c r="G611" s="2" t="s">
        <v>121</v>
      </c>
      <c r="H611" s="2" t="s">
        <v>62</v>
      </c>
      <c r="I611" s="2" t="s">
        <v>27</v>
      </c>
      <c r="J611" s="2" t="s">
        <v>20</v>
      </c>
      <c r="K611" s="2" t="s">
        <v>28</v>
      </c>
      <c r="L611">
        <v>6</v>
      </c>
      <c r="M611">
        <v>697.45</v>
      </c>
      <c r="N611">
        <v>4184.7000000000007</v>
      </c>
      <c r="O611" t="s">
        <v>29</v>
      </c>
      <c r="P611" s="2" t="s">
        <v>30</v>
      </c>
      <c r="Q611" s="2" t="s">
        <v>24</v>
      </c>
    </row>
    <row r="612" spans="1:17" hidden="1" x14ac:dyDescent="0.3">
      <c r="A612">
        <v>202400174</v>
      </c>
      <c r="B612" s="1">
        <v>45449</v>
      </c>
      <c r="C612">
        <v>2024</v>
      </c>
      <c r="D612">
        <v>2</v>
      </c>
      <c r="E612">
        <v>6</v>
      </c>
      <c r="F612">
        <v>26</v>
      </c>
      <c r="G612" s="2" t="s">
        <v>89</v>
      </c>
      <c r="H612" s="2" t="s">
        <v>62</v>
      </c>
      <c r="I612" s="2" t="s">
        <v>67</v>
      </c>
      <c r="J612" s="2" t="s">
        <v>20</v>
      </c>
      <c r="K612" s="2" t="s">
        <v>58</v>
      </c>
      <c r="L612">
        <v>5</v>
      </c>
      <c r="M612">
        <v>1001.39</v>
      </c>
      <c r="N612">
        <v>5006.95</v>
      </c>
      <c r="O612" t="s">
        <v>29</v>
      </c>
      <c r="P612" s="2" t="s">
        <v>43</v>
      </c>
      <c r="Q612" s="2" t="s">
        <v>24</v>
      </c>
    </row>
    <row r="613" spans="1:17" x14ac:dyDescent="0.3">
      <c r="A613">
        <v>202400519</v>
      </c>
      <c r="B613" s="1">
        <v>45346</v>
      </c>
      <c r="C613">
        <v>2024</v>
      </c>
      <c r="D613">
        <v>1</v>
      </c>
      <c r="E613">
        <v>2</v>
      </c>
      <c r="F613">
        <v>78</v>
      </c>
      <c r="G613" s="2" t="s">
        <v>131</v>
      </c>
      <c r="H613" s="2" t="s">
        <v>69</v>
      </c>
      <c r="I613" s="2" t="s">
        <v>19</v>
      </c>
      <c r="J613" s="2" t="s">
        <v>20</v>
      </c>
      <c r="K613" s="2" t="s">
        <v>28</v>
      </c>
      <c r="L613">
        <v>3</v>
      </c>
      <c r="M613">
        <v>1060.31</v>
      </c>
      <c r="N613">
        <v>3180.93</v>
      </c>
      <c r="O613" t="s">
        <v>29</v>
      </c>
      <c r="P613" s="2" t="s">
        <v>30</v>
      </c>
      <c r="Q613" s="2" t="s">
        <v>40</v>
      </c>
    </row>
    <row r="614" spans="1:17" x14ac:dyDescent="0.3">
      <c r="A614">
        <v>202400941</v>
      </c>
      <c r="B614" s="1">
        <v>45360</v>
      </c>
      <c r="C614">
        <v>2024</v>
      </c>
      <c r="D614">
        <v>1</v>
      </c>
      <c r="E614">
        <v>3</v>
      </c>
      <c r="F614">
        <v>59</v>
      </c>
      <c r="G614" s="2" t="s">
        <v>73</v>
      </c>
      <c r="H614" s="2" t="s">
        <v>62</v>
      </c>
      <c r="I614" s="2" t="s">
        <v>74</v>
      </c>
      <c r="J614" s="2" t="s">
        <v>75</v>
      </c>
      <c r="K614" s="2" t="s">
        <v>39</v>
      </c>
      <c r="L614">
        <v>8</v>
      </c>
      <c r="M614">
        <v>220.42</v>
      </c>
      <c r="N614">
        <v>1763.36</v>
      </c>
      <c r="O614" t="s">
        <v>29</v>
      </c>
      <c r="P614" s="2" t="s">
        <v>23</v>
      </c>
      <c r="Q614" s="2" t="s">
        <v>24</v>
      </c>
    </row>
    <row r="615" spans="1:17" x14ac:dyDescent="0.3">
      <c r="A615">
        <v>202400719</v>
      </c>
      <c r="B615" s="1">
        <v>45369</v>
      </c>
      <c r="C615">
        <v>2024</v>
      </c>
      <c r="D615">
        <v>1</v>
      </c>
      <c r="E615">
        <v>3</v>
      </c>
      <c r="F615">
        <v>22</v>
      </c>
      <c r="G615" s="2" t="s">
        <v>79</v>
      </c>
      <c r="H615" s="2" t="s">
        <v>18</v>
      </c>
      <c r="I615" s="2" t="s">
        <v>65</v>
      </c>
      <c r="J615" s="2" t="s">
        <v>34</v>
      </c>
      <c r="K615" s="2" t="s">
        <v>97</v>
      </c>
      <c r="L615">
        <v>14</v>
      </c>
      <c r="M615">
        <v>1117.45</v>
      </c>
      <c r="N615">
        <v>15644.300000000001</v>
      </c>
      <c r="O615" t="s">
        <v>22</v>
      </c>
      <c r="P615" s="2" t="s">
        <v>30</v>
      </c>
      <c r="Q615" s="2" t="s">
        <v>45</v>
      </c>
    </row>
    <row r="616" spans="1:17" hidden="1" x14ac:dyDescent="0.3">
      <c r="A616">
        <v>202400492</v>
      </c>
      <c r="B616" s="1">
        <v>45490</v>
      </c>
      <c r="C616">
        <v>2024</v>
      </c>
      <c r="D616">
        <v>3</v>
      </c>
      <c r="E616">
        <v>7</v>
      </c>
      <c r="F616">
        <v>39</v>
      </c>
      <c r="G616" s="2" t="s">
        <v>98</v>
      </c>
      <c r="H616" s="2" t="s">
        <v>18</v>
      </c>
      <c r="I616" s="2" t="s">
        <v>19</v>
      </c>
      <c r="J616" s="2" t="s">
        <v>20</v>
      </c>
      <c r="K616" s="2" t="s">
        <v>21</v>
      </c>
      <c r="L616">
        <v>5</v>
      </c>
      <c r="M616">
        <v>181.46</v>
      </c>
      <c r="N616">
        <v>907.30000000000007</v>
      </c>
      <c r="O616" t="s">
        <v>29</v>
      </c>
      <c r="P616" s="2" t="s">
        <v>30</v>
      </c>
      <c r="Q616" s="2" t="s">
        <v>40</v>
      </c>
    </row>
    <row r="617" spans="1:17" x14ac:dyDescent="0.3">
      <c r="A617">
        <v>202400074</v>
      </c>
      <c r="B617" s="1">
        <v>45352</v>
      </c>
      <c r="C617">
        <v>2024</v>
      </c>
      <c r="D617">
        <v>1</v>
      </c>
      <c r="E617">
        <v>3</v>
      </c>
      <c r="F617">
        <v>63</v>
      </c>
      <c r="G617" s="2" t="s">
        <v>64</v>
      </c>
      <c r="H617" s="2" t="s">
        <v>69</v>
      </c>
      <c r="I617" s="2" t="s">
        <v>65</v>
      </c>
      <c r="J617" s="2" t="s">
        <v>34</v>
      </c>
      <c r="K617" s="2" t="s">
        <v>35</v>
      </c>
      <c r="L617">
        <v>8</v>
      </c>
      <c r="M617">
        <v>1023.78</v>
      </c>
      <c r="N617">
        <v>8190.24</v>
      </c>
      <c r="O617" t="s">
        <v>29</v>
      </c>
      <c r="P617" s="2" t="s">
        <v>48</v>
      </c>
      <c r="Q617" s="2" t="s">
        <v>49</v>
      </c>
    </row>
    <row r="618" spans="1:17" hidden="1" x14ac:dyDescent="0.3">
      <c r="A618">
        <v>202401004</v>
      </c>
      <c r="B618" s="1">
        <v>45652</v>
      </c>
      <c r="C618">
        <v>2024</v>
      </c>
      <c r="D618">
        <v>4</v>
      </c>
      <c r="E618">
        <v>12</v>
      </c>
      <c r="F618">
        <v>43</v>
      </c>
      <c r="G618" s="2" t="s">
        <v>100</v>
      </c>
      <c r="H618" s="2" t="s">
        <v>69</v>
      </c>
      <c r="I618" s="2" t="s">
        <v>54</v>
      </c>
      <c r="J618" s="2" t="s">
        <v>20</v>
      </c>
      <c r="K618" s="2" t="s">
        <v>52</v>
      </c>
      <c r="L618">
        <v>14</v>
      </c>
      <c r="M618">
        <v>353.76</v>
      </c>
      <c r="N618">
        <v>4952.6399999999994</v>
      </c>
      <c r="O618" t="s">
        <v>22</v>
      </c>
      <c r="P618" s="2" t="s">
        <v>43</v>
      </c>
      <c r="Q618" s="2" t="s">
        <v>41</v>
      </c>
    </row>
    <row r="619" spans="1:17" hidden="1" x14ac:dyDescent="0.3">
      <c r="A619">
        <v>202400588</v>
      </c>
      <c r="B619" s="1">
        <v>45643</v>
      </c>
      <c r="C619">
        <v>2024</v>
      </c>
      <c r="D619">
        <v>4</v>
      </c>
      <c r="E619">
        <v>12</v>
      </c>
      <c r="F619">
        <v>29</v>
      </c>
      <c r="G619" s="2" t="s">
        <v>61</v>
      </c>
      <c r="H619" s="2" t="s">
        <v>62</v>
      </c>
      <c r="I619" s="2" t="s">
        <v>19</v>
      </c>
      <c r="J619" s="2" t="s">
        <v>20</v>
      </c>
      <c r="K619" s="2" t="s">
        <v>59</v>
      </c>
      <c r="L619">
        <v>2</v>
      </c>
      <c r="M619">
        <v>424.22</v>
      </c>
      <c r="N619">
        <v>848.44</v>
      </c>
      <c r="O619" t="s">
        <v>36</v>
      </c>
      <c r="P619" s="2" t="s">
        <v>43</v>
      </c>
      <c r="Q619" s="2" t="s">
        <v>24</v>
      </c>
    </row>
    <row r="620" spans="1:17" hidden="1" x14ac:dyDescent="0.3">
      <c r="A620">
        <v>202400235</v>
      </c>
      <c r="B620" s="1">
        <v>45469</v>
      </c>
      <c r="C620">
        <v>2024</v>
      </c>
      <c r="D620">
        <v>2</v>
      </c>
      <c r="E620">
        <v>6</v>
      </c>
      <c r="F620">
        <v>70</v>
      </c>
      <c r="G620" s="2" t="s">
        <v>94</v>
      </c>
      <c r="H620" s="2" t="s">
        <v>18</v>
      </c>
      <c r="I620" s="2" t="s">
        <v>78</v>
      </c>
      <c r="J620" s="2" t="s">
        <v>75</v>
      </c>
      <c r="K620" s="2" t="s">
        <v>70</v>
      </c>
      <c r="L620">
        <v>1</v>
      </c>
      <c r="M620">
        <v>145.25</v>
      </c>
      <c r="N620">
        <v>145.25</v>
      </c>
      <c r="O620" t="s">
        <v>36</v>
      </c>
      <c r="P620" s="2" t="s">
        <v>23</v>
      </c>
      <c r="Q620" s="2" t="s">
        <v>41</v>
      </c>
    </row>
    <row r="621" spans="1:17" hidden="1" x14ac:dyDescent="0.3">
      <c r="A621">
        <v>202400215</v>
      </c>
      <c r="B621" s="1">
        <v>45410</v>
      </c>
      <c r="C621">
        <v>2024</v>
      </c>
      <c r="D621">
        <v>2</v>
      </c>
      <c r="E621">
        <v>4</v>
      </c>
      <c r="F621">
        <v>75</v>
      </c>
      <c r="G621" s="2" t="s">
        <v>84</v>
      </c>
      <c r="H621" s="2" t="s">
        <v>62</v>
      </c>
      <c r="I621" s="2" t="s">
        <v>85</v>
      </c>
      <c r="J621" s="2" t="s">
        <v>57</v>
      </c>
      <c r="K621" s="2" t="s">
        <v>97</v>
      </c>
      <c r="L621">
        <v>7</v>
      </c>
      <c r="M621">
        <v>941.5</v>
      </c>
      <c r="N621">
        <v>6590.5</v>
      </c>
      <c r="O621" t="s">
        <v>29</v>
      </c>
      <c r="P621" s="2" t="s">
        <v>48</v>
      </c>
      <c r="Q621" s="2" t="s">
        <v>31</v>
      </c>
    </row>
    <row r="622" spans="1:17" hidden="1" x14ac:dyDescent="0.3">
      <c r="A622">
        <v>202400969</v>
      </c>
      <c r="B622" s="1">
        <v>45553</v>
      </c>
      <c r="C622">
        <v>2024</v>
      </c>
      <c r="D622">
        <v>3</v>
      </c>
      <c r="E622">
        <v>9</v>
      </c>
      <c r="F622">
        <v>70</v>
      </c>
      <c r="G622" s="2" t="s">
        <v>94</v>
      </c>
      <c r="H622" s="2" t="s">
        <v>18</v>
      </c>
      <c r="I622" s="2" t="s">
        <v>78</v>
      </c>
      <c r="J622" s="2" t="s">
        <v>75</v>
      </c>
      <c r="K622" s="2" t="s">
        <v>97</v>
      </c>
      <c r="L622">
        <v>9</v>
      </c>
      <c r="M622">
        <v>720.56</v>
      </c>
      <c r="N622">
        <v>6485.0399999999991</v>
      </c>
      <c r="O622" t="s">
        <v>29</v>
      </c>
      <c r="P622" s="2" t="s">
        <v>30</v>
      </c>
      <c r="Q622" s="2" t="s">
        <v>24</v>
      </c>
    </row>
    <row r="623" spans="1:17" x14ac:dyDescent="0.3">
      <c r="A623">
        <v>202400133</v>
      </c>
      <c r="B623" s="1">
        <v>45310</v>
      </c>
      <c r="C623">
        <v>2024</v>
      </c>
      <c r="D623">
        <v>1</v>
      </c>
      <c r="E623">
        <v>1</v>
      </c>
      <c r="F623">
        <v>9</v>
      </c>
      <c r="G623" s="2" t="s">
        <v>44</v>
      </c>
      <c r="H623" s="2" t="s">
        <v>62</v>
      </c>
      <c r="I623" s="2" t="s">
        <v>78</v>
      </c>
      <c r="J623" s="2" t="s">
        <v>75</v>
      </c>
      <c r="K623" s="2" t="s">
        <v>42</v>
      </c>
      <c r="L623">
        <v>4</v>
      </c>
      <c r="M623">
        <v>697.58</v>
      </c>
      <c r="N623">
        <v>2790.32</v>
      </c>
      <c r="O623" t="s">
        <v>29</v>
      </c>
      <c r="P623" s="2" t="s">
        <v>30</v>
      </c>
      <c r="Q623" s="2" t="s">
        <v>24</v>
      </c>
    </row>
    <row r="624" spans="1:17" hidden="1" x14ac:dyDescent="0.3">
      <c r="A624">
        <v>202400794</v>
      </c>
      <c r="B624" s="1">
        <v>45609</v>
      </c>
      <c r="C624">
        <v>2024</v>
      </c>
      <c r="D624">
        <v>4</v>
      </c>
      <c r="E624">
        <v>11</v>
      </c>
      <c r="F624">
        <v>28</v>
      </c>
      <c r="G624" s="2" t="s">
        <v>114</v>
      </c>
      <c r="H624" s="2" t="s">
        <v>62</v>
      </c>
      <c r="I624" s="2" t="s">
        <v>33</v>
      </c>
      <c r="J624" s="2" t="s">
        <v>34</v>
      </c>
      <c r="K624" s="2" t="s">
        <v>71</v>
      </c>
      <c r="L624">
        <v>8</v>
      </c>
      <c r="M624">
        <v>934.85</v>
      </c>
      <c r="N624">
        <v>7478.8</v>
      </c>
      <c r="O624" t="s">
        <v>29</v>
      </c>
      <c r="P624" s="2" t="s">
        <v>23</v>
      </c>
      <c r="Q624" s="2" t="s">
        <v>24</v>
      </c>
    </row>
    <row r="625" spans="1:17" hidden="1" x14ac:dyDescent="0.3">
      <c r="A625">
        <v>202401049</v>
      </c>
      <c r="B625" s="1">
        <v>45601</v>
      </c>
      <c r="C625">
        <v>2024</v>
      </c>
      <c r="D625">
        <v>4</v>
      </c>
      <c r="E625">
        <v>11</v>
      </c>
      <c r="F625">
        <v>24</v>
      </c>
      <c r="G625" s="2" t="s">
        <v>17</v>
      </c>
      <c r="H625" s="2" t="s">
        <v>26</v>
      </c>
      <c r="I625" s="2" t="s">
        <v>56</v>
      </c>
      <c r="J625" s="2" t="s">
        <v>57</v>
      </c>
      <c r="K625" s="2" t="s">
        <v>52</v>
      </c>
      <c r="L625">
        <v>14</v>
      </c>
      <c r="M625">
        <v>756.19</v>
      </c>
      <c r="N625">
        <v>10586.66</v>
      </c>
      <c r="O625" t="s">
        <v>22</v>
      </c>
      <c r="P625" s="2" t="s">
        <v>43</v>
      </c>
      <c r="Q625" s="2" t="s">
        <v>24</v>
      </c>
    </row>
    <row r="626" spans="1:17" x14ac:dyDescent="0.3">
      <c r="A626">
        <v>202400962</v>
      </c>
      <c r="B626" s="1">
        <v>45294</v>
      </c>
      <c r="C626">
        <v>2024</v>
      </c>
      <c r="D626">
        <v>1</v>
      </c>
      <c r="E626">
        <v>1</v>
      </c>
      <c r="F626">
        <v>50</v>
      </c>
      <c r="G626" s="2" t="s">
        <v>37</v>
      </c>
      <c r="H626" s="2" t="s">
        <v>62</v>
      </c>
      <c r="I626" s="2" t="s">
        <v>38</v>
      </c>
      <c r="J626" s="2" t="s">
        <v>20</v>
      </c>
      <c r="K626" s="2" t="s">
        <v>47</v>
      </c>
      <c r="L626">
        <v>7</v>
      </c>
      <c r="M626">
        <v>1361.76</v>
      </c>
      <c r="N626">
        <v>9532.32</v>
      </c>
      <c r="O626" t="s">
        <v>29</v>
      </c>
      <c r="P626" s="2" t="s">
        <v>48</v>
      </c>
      <c r="Q626" s="2" t="s">
        <v>24</v>
      </c>
    </row>
    <row r="627" spans="1:17" hidden="1" x14ac:dyDescent="0.3">
      <c r="A627">
        <v>202400186</v>
      </c>
      <c r="B627" s="1">
        <v>45441</v>
      </c>
      <c r="C627">
        <v>2024</v>
      </c>
      <c r="D627">
        <v>2</v>
      </c>
      <c r="E627">
        <v>5</v>
      </c>
      <c r="F627">
        <v>19</v>
      </c>
      <c r="G627" s="2" t="s">
        <v>122</v>
      </c>
      <c r="H627" s="2" t="s">
        <v>26</v>
      </c>
      <c r="I627" s="2" t="s">
        <v>38</v>
      </c>
      <c r="J627" s="2" t="s">
        <v>20</v>
      </c>
      <c r="K627" s="2" t="s">
        <v>47</v>
      </c>
      <c r="L627">
        <v>9</v>
      </c>
      <c r="M627">
        <v>451.01</v>
      </c>
      <c r="N627">
        <v>4059.09</v>
      </c>
      <c r="O627" t="s">
        <v>29</v>
      </c>
      <c r="P627" s="2" t="s">
        <v>43</v>
      </c>
      <c r="Q627" s="2" t="s">
        <v>45</v>
      </c>
    </row>
    <row r="628" spans="1:17" hidden="1" x14ac:dyDescent="0.3">
      <c r="A628">
        <v>202400042</v>
      </c>
      <c r="B628" s="1">
        <v>45570</v>
      </c>
      <c r="C628">
        <v>2024</v>
      </c>
      <c r="D628">
        <v>4</v>
      </c>
      <c r="E628">
        <v>10</v>
      </c>
      <c r="F628">
        <v>10</v>
      </c>
      <c r="G628" s="2" t="s">
        <v>17</v>
      </c>
      <c r="H628" s="2" t="s">
        <v>18</v>
      </c>
      <c r="I628" s="2" t="s">
        <v>19</v>
      </c>
      <c r="J628" s="2" t="s">
        <v>20</v>
      </c>
      <c r="K628" s="2" t="s">
        <v>59</v>
      </c>
      <c r="L628">
        <v>8</v>
      </c>
      <c r="M628">
        <v>197.54</v>
      </c>
      <c r="N628">
        <v>1580.32</v>
      </c>
      <c r="O628" t="s">
        <v>29</v>
      </c>
      <c r="P628" s="2" t="s">
        <v>43</v>
      </c>
      <c r="Q628" s="2" t="s">
        <v>40</v>
      </c>
    </row>
    <row r="629" spans="1:17" x14ac:dyDescent="0.3">
      <c r="A629">
        <v>202400109</v>
      </c>
      <c r="B629" s="1">
        <v>45302</v>
      </c>
      <c r="C629">
        <v>2024</v>
      </c>
      <c r="D629">
        <v>1</v>
      </c>
      <c r="E629">
        <v>1</v>
      </c>
      <c r="F629">
        <v>18</v>
      </c>
      <c r="G629" s="2" t="s">
        <v>116</v>
      </c>
      <c r="H629" s="2" t="s">
        <v>62</v>
      </c>
      <c r="I629" s="2" t="s">
        <v>54</v>
      </c>
      <c r="J629" s="2" t="s">
        <v>20</v>
      </c>
      <c r="K629" s="2" t="s">
        <v>21</v>
      </c>
      <c r="L629">
        <v>11</v>
      </c>
      <c r="M629">
        <v>1285.1199999999999</v>
      </c>
      <c r="N629">
        <v>14136.32</v>
      </c>
      <c r="O629" t="s">
        <v>22</v>
      </c>
      <c r="P629" s="2" t="s">
        <v>43</v>
      </c>
      <c r="Q629" s="2" t="s">
        <v>40</v>
      </c>
    </row>
    <row r="630" spans="1:17" hidden="1" x14ac:dyDescent="0.3">
      <c r="A630">
        <v>202400868</v>
      </c>
      <c r="B630" s="1">
        <v>45457</v>
      </c>
      <c r="C630">
        <v>2024</v>
      </c>
      <c r="D630">
        <v>2</v>
      </c>
      <c r="E630">
        <v>6</v>
      </c>
      <c r="F630">
        <v>79</v>
      </c>
      <c r="G630" s="2" t="s">
        <v>108</v>
      </c>
      <c r="H630" s="2" t="s">
        <v>69</v>
      </c>
      <c r="I630" s="2" t="s">
        <v>85</v>
      </c>
      <c r="J630" s="2" t="s">
        <v>57</v>
      </c>
      <c r="K630" s="2" t="s">
        <v>28</v>
      </c>
      <c r="L630">
        <v>7</v>
      </c>
      <c r="M630">
        <v>1014.62</v>
      </c>
      <c r="N630">
        <v>7102.34</v>
      </c>
      <c r="O630" t="s">
        <v>29</v>
      </c>
      <c r="P630" s="2" t="s">
        <v>30</v>
      </c>
      <c r="Q630" s="2" t="s">
        <v>24</v>
      </c>
    </row>
    <row r="631" spans="1:17" hidden="1" x14ac:dyDescent="0.3">
      <c r="A631">
        <v>202400569</v>
      </c>
      <c r="B631" s="1">
        <v>45441</v>
      </c>
      <c r="C631">
        <v>2024</v>
      </c>
      <c r="D631">
        <v>2</v>
      </c>
      <c r="E631">
        <v>5</v>
      </c>
      <c r="F631">
        <v>45</v>
      </c>
      <c r="G631" s="2" t="s">
        <v>103</v>
      </c>
      <c r="H631" s="2" t="s">
        <v>26</v>
      </c>
      <c r="I631" s="2" t="s">
        <v>56</v>
      </c>
      <c r="J631" s="2" t="s">
        <v>57</v>
      </c>
      <c r="K631" s="2" t="s">
        <v>47</v>
      </c>
      <c r="L631">
        <v>6</v>
      </c>
      <c r="M631">
        <v>1154.73</v>
      </c>
      <c r="N631">
        <v>6928.38</v>
      </c>
      <c r="O631" t="s">
        <v>29</v>
      </c>
      <c r="P631" s="2" t="s">
        <v>48</v>
      </c>
      <c r="Q631" s="2" t="s">
        <v>24</v>
      </c>
    </row>
    <row r="632" spans="1:17" hidden="1" x14ac:dyDescent="0.3">
      <c r="A632">
        <v>202400667</v>
      </c>
      <c r="B632" s="1">
        <v>45586</v>
      </c>
      <c r="C632">
        <v>2024</v>
      </c>
      <c r="D632">
        <v>4</v>
      </c>
      <c r="E632">
        <v>10</v>
      </c>
      <c r="F632">
        <v>48</v>
      </c>
      <c r="G632" s="2" t="s">
        <v>82</v>
      </c>
      <c r="H632" s="2" t="s">
        <v>140</v>
      </c>
      <c r="I632" s="2" t="s">
        <v>78</v>
      </c>
      <c r="J632" s="2" t="s">
        <v>75</v>
      </c>
      <c r="K632" s="2" t="s">
        <v>47</v>
      </c>
      <c r="L632">
        <v>5</v>
      </c>
      <c r="M632">
        <v>974.14</v>
      </c>
      <c r="N632">
        <v>4870.7</v>
      </c>
      <c r="O632" t="s">
        <v>29</v>
      </c>
      <c r="P632" s="2" t="s">
        <v>30</v>
      </c>
      <c r="Q632" s="2" t="s">
        <v>24</v>
      </c>
    </row>
    <row r="633" spans="1:17" hidden="1" x14ac:dyDescent="0.3">
      <c r="A633">
        <v>202401025</v>
      </c>
      <c r="B633" s="1">
        <v>45567</v>
      </c>
      <c r="C633">
        <v>2024</v>
      </c>
      <c r="D633">
        <v>4</v>
      </c>
      <c r="E633">
        <v>10</v>
      </c>
      <c r="F633">
        <v>74</v>
      </c>
      <c r="G633" s="2" t="s">
        <v>102</v>
      </c>
      <c r="H633" s="2" t="s">
        <v>140</v>
      </c>
      <c r="I633" s="2" t="s">
        <v>27</v>
      </c>
      <c r="J633" s="2" t="s">
        <v>20</v>
      </c>
      <c r="K633" s="2" t="s">
        <v>50</v>
      </c>
      <c r="L633">
        <v>3</v>
      </c>
      <c r="M633">
        <v>1576.52</v>
      </c>
      <c r="N633">
        <v>4729.5599999999995</v>
      </c>
      <c r="O633" t="s">
        <v>29</v>
      </c>
      <c r="P633" s="2" t="s">
        <v>43</v>
      </c>
      <c r="Q633" s="2" t="s">
        <v>31</v>
      </c>
    </row>
    <row r="634" spans="1:17" hidden="1" x14ac:dyDescent="0.3">
      <c r="A634">
        <v>202401166</v>
      </c>
      <c r="B634" s="1">
        <v>45613</v>
      </c>
      <c r="C634">
        <v>2024</v>
      </c>
      <c r="D634">
        <v>4</v>
      </c>
      <c r="E634">
        <v>11</v>
      </c>
      <c r="F634">
        <v>58</v>
      </c>
      <c r="G634" s="2" t="s">
        <v>68</v>
      </c>
      <c r="H634" s="2" t="s">
        <v>69</v>
      </c>
      <c r="I634" s="2" t="s">
        <v>85</v>
      </c>
      <c r="J634" s="2" t="s">
        <v>57</v>
      </c>
      <c r="K634" s="2" t="s">
        <v>58</v>
      </c>
      <c r="L634">
        <v>8</v>
      </c>
      <c r="M634">
        <v>536.77</v>
      </c>
      <c r="N634">
        <v>4294.16</v>
      </c>
      <c r="O634" t="s">
        <v>29</v>
      </c>
      <c r="P634" s="2" t="s">
        <v>48</v>
      </c>
      <c r="Q634" s="2" t="s">
        <v>24</v>
      </c>
    </row>
    <row r="635" spans="1:17" hidden="1" x14ac:dyDescent="0.3">
      <c r="A635">
        <v>202400469</v>
      </c>
      <c r="B635" s="1">
        <v>45590</v>
      </c>
      <c r="C635">
        <v>2024</v>
      </c>
      <c r="D635">
        <v>4</v>
      </c>
      <c r="E635">
        <v>10</v>
      </c>
      <c r="F635">
        <v>54</v>
      </c>
      <c r="G635" s="2" t="s">
        <v>68</v>
      </c>
      <c r="H635" s="2" t="s">
        <v>69</v>
      </c>
      <c r="I635" s="2" t="s">
        <v>19</v>
      </c>
      <c r="J635" s="2" t="s">
        <v>20</v>
      </c>
      <c r="K635" s="2" t="s">
        <v>51</v>
      </c>
      <c r="L635">
        <v>1</v>
      </c>
      <c r="M635">
        <v>181.99</v>
      </c>
      <c r="N635">
        <v>181.99</v>
      </c>
      <c r="O635" t="s">
        <v>36</v>
      </c>
      <c r="P635" s="2" t="s">
        <v>30</v>
      </c>
      <c r="Q635" s="2" t="s">
        <v>40</v>
      </c>
    </row>
    <row r="636" spans="1:17" hidden="1" x14ac:dyDescent="0.3">
      <c r="A636">
        <v>202400025</v>
      </c>
      <c r="B636" s="1">
        <v>45600</v>
      </c>
      <c r="C636">
        <v>2024</v>
      </c>
      <c r="D636">
        <v>4</v>
      </c>
      <c r="E636">
        <v>11</v>
      </c>
      <c r="F636">
        <v>69</v>
      </c>
      <c r="G636" s="2" t="s">
        <v>98</v>
      </c>
      <c r="H636" s="2" t="s">
        <v>62</v>
      </c>
      <c r="I636" s="2" t="s">
        <v>67</v>
      </c>
      <c r="J636" s="2" t="s">
        <v>20</v>
      </c>
      <c r="K636" s="2" t="s">
        <v>28</v>
      </c>
      <c r="L636">
        <v>13</v>
      </c>
      <c r="M636">
        <v>1814.79</v>
      </c>
      <c r="N636">
        <v>23592.27</v>
      </c>
      <c r="O636" t="s">
        <v>22</v>
      </c>
      <c r="P636" s="2" t="s">
        <v>30</v>
      </c>
      <c r="Q636" s="2" t="s">
        <v>40</v>
      </c>
    </row>
    <row r="637" spans="1:17" hidden="1" x14ac:dyDescent="0.3">
      <c r="A637">
        <v>202400677</v>
      </c>
      <c r="B637" s="1">
        <v>45470</v>
      </c>
      <c r="C637">
        <v>2024</v>
      </c>
      <c r="D637">
        <v>2</v>
      </c>
      <c r="E637">
        <v>6</v>
      </c>
      <c r="F637">
        <v>79</v>
      </c>
      <c r="G637" s="2" t="s">
        <v>108</v>
      </c>
      <c r="H637" s="2" t="s">
        <v>69</v>
      </c>
      <c r="I637" s="2" t="s">
        <v>85</v>
      </c>
      <c r="J637" s="2" t="s">
        <v>57</v>
      </c>
      <c r="K637" s="2" t="s">
        <v>21</v>
      </c>
      <c r="L637">
        <v>2</v>
      </c>
      <c r="M637">
        <v>172.67</v>
      </c>
      <c r="N637">
        <v>345.34</v>
      </c>
      <c r="O637" t="s">
        <v>36</v>
      </c>
      <c r="P637" s="2" t="s">
        <v>30</v>
      </c>
      <c r="Q637" s="2" t="s">
        <v>24</v>
      </c>
    </row>
    <row r="638" spans="1:17" x14ac:dyDescent="0.3">
      <c r="A638">
        <v>202400696</v>
      </c>
      <c r="B638" s="1">
        <v>45365</v>
      </c>
      <c r="C638">
        <v>2024</v>
      </c>
      <c r="D638">
        <v>1</v>
      </c>
      <c r="E638">
        <v>3</v>
      </c>
      <c r="F638">
        <v>26</v>
      </c>
      <c r="G638" s="2" t="s">
        <v>89</v>
      </c>
      <c r="H638" s="2" t="s">
        <v>62</v>
      </c>
      <c r="I638" s="2" t="s">
        <v>67</v>
      </c>
      <c r="J638" s="2" t="s">
        <v>20</v>
      </c>
      <c r="K638" s="2" t="s">
        <v>52</v>
      </c>
      <c r="L638">
        <v>14</v>
      </c>
      <c r="M638">
        <v>1893.78</v>
      </c>
      <c r="N638">
        <v>26512.92</v>
      </c>
      <c r="O638" t="s">
        <v>22</v>
      </c>
      <c r="P638" s="2" t="s">
        <v>43</v>
      </c>
      <c r="Q638" s="2" t="s">
        <v>24</v>
      </c>
    </row>
    <row r="639" spans="1:17" hidden="1" x14ac:dyDescent="0.3">
      <c r="A639">
        <v>202401200</v>
      </c>
      <c r="B639" s="1">
        <v>45649</v>
      </c>
      <c r="C639">
        <v>2024</v>
      </c>
      <c r="D639">
        <v>4</v>
      </c>
      <c r="E639">
        <v>12</v>
      </c>
      <c r="F639">
        <v>43</v>
      </c>
      <c r="G639" s="2" t="s">
        <v>100</v>
      </c>
      <c r="H639" s="2" t="s">
        <v>69</v>
      </c>
      <c r="I639" s="2" t="s">
        <v>54</v>
      </c>
      <c r="J639" s="2" t="s">
        <v>20</v>
      </c>
      <c r="K639" s="2" t="s">
        <v>35</v>
      </c>
      <c r="L639">
        <v>8</v>
      </c>
      <c r="M639">
        <v>1367.44</v>
      </c>
      <c r="N639">
        <v>10939.52</v>
      </c>
      <c r="O639" t="s">
        <v>29</v>
      </c>
      <c r="P639" s="2" t="s">
        <v>30</v>
      </c>
      <c r="Q639" s="2" t="s">
        <v>24</v>
      </c>
    </row>
    <row r="640" spans="1:17" hidden="1" x14ac:dyDescent="0.3">
      <c r="A640">
        <v>202401120</v>
      </c>
      <c r="B640" s="1">
        <v>45530</v>
      </c>
      <c r="C640">
        <v>2024</v>
      </c>
      <c r="D640">
        <v>3</v>
      </c>
      <c r="E640">
        <v>8</v>
      </c>
      <c r="F640">
        <v>22</v>
      </c>
      <c r="G640" s="2" t="s">
        <v>79</v>
      </c>
      <c r="H640" s="2" t="s">
        <v>18</v>
      </c>
      <c r="I640" s="2" t="s">
        <v>65</v>
      </c>
      <c r="J640" s="2" t="s">
        <v>34</v>
      </c>
      <c r="K640" s="2" t="s">
        <v>35</v>
      </c>
      <c r="L640">
        <v>8</v>
      </c>
      <c r="M640">
        <v>1028.29</v>
      </c>
      <c r="N640">
        <v>8226.32</v>
      </c>
      <c r="O640" t="s">
        <v>29</v>
      </c>
      <c r="P640" s="2" t="s">
        <v>23</v>
      </c>
      <c r="Q640" s="2" t="s">
        <v>41</v>
      </c>
    </row>
    <row r="641" spans="1:17" hidden="1" x14ac:dyDescent="0.3">
      <c r="A641">
        <v>202400367</v>
      </c>
      <c r="B641" s="1">
        <v>45543</v>
      </c>
      <c r="C641">
        <v>2024</v>
      </c>
      <c r="D641">
        <v>3</v>
      </c>
      <c r="E641">
        <v>9</v>
      </c>
      <c r="F641">
        <v>28</v>
      </c>
      <c r="G641" s="2" t="s">
        <v>114</v>
      </c>
      <c r="H641" s="2" t="s">
        <v>62</v>
      </c>
      <c r="I641" s="2" t="s">
        <v>33</v>
      </c>
      <c r="J641" s="2" t="s">
        <v>34</v>
      </c>
      <c r="K641" s="2" t="s">
        <v>51</v>
      </c>
      <c r="L641">
        <v>12</v>
      </c>
      <c r="M641">
        <v>146.71</v>
      </c>
      <c r="N641">
        <v>1760.52</v>
      </c>
      <c r="O641" t="s">
        <v>22</v>
      </c>
      <c r="P641" s="2" t="s">
        <v>23</v>
      </c>
      <c r="Q641" s="2" t="s">
        <v>24</v>
      </c>
    </row>
    <row r="642" spans="1:17" x14ac:dyDescent="0.3">
      <c r="A642">
        <v>202400859</v>
      </c>
      <c r="B642" s="1">
        <v>45302</v>
      </c>
      <c r="C642">
        <v>2024</v>
      </c>
      <c r="D642">
        <v>1</v>
      </c>
      <c r="E642">
        <v>1</v>
      </c>
      <c r="F642">
        <v>64</v>
      </c>
      <c r="G642" s="2" t="s">
        <v>106</v>
      </c>
      <c r="H642" s="2" t="s">
        <v>26</v>
      </c>
      <c r="I642" s="2" t="s">
        <v>27</v>
      </c>
      <c r="J642" s="2" t="s">
        <v>20</v>
      </c>
      <c r="K642" s="2" t="s">
        <v>71</v>
      </c>
      <c r="L642">
        <v>9</v>
      </c>
      <c r="M642">
        <v>1178.3</v>
      </c>
      <c r="N642">
        <v>10604.699999999999</v>
      </c>
      <c r="O642" t="s">
        <v>29</v>
      </c>
      <c r="P642" s="2" t="s">
        <v>30</v>
      </c>
      <c r="Q642" s="2" t="s">
        <v>45</v>
      </c>
    </row>
    <row r="643" spans="1:17" hidden="1" x14ac:dyDescent="0.3">
      <c r="A643">
        <v>202401064</v>
      </c>
      <c r="B643" s="1">
        <v>45653</v>
      </c>
      <c r="C643">
        <v>2024</v>
      </c>
      <c r="D643">
        <v>4</v>
      </c>
      <c r="E643">
        <v>12</v>
      </c>
      <c r="F643">
        <v>24</v>
      </c>
      <c r="G643" s="2" t="s">
        <v>17</v>
      </c>
      <c r="H643" s="2" t="s">
        <v>26</v>
      </c>
      <c r="I643" s="2" t="s">
        <v>56</v>
      </c>
      <c r="J643" s="2" t="s">
        <v>57</v>
      </c>
      <c r="K643" s="2" t="s">
        <v>71</v>
      </c>
      <c r="L643">
        <v>14</v>
      </c>
      <c r="M643">
        <v>713.57</v>
      </c>
      <c r="N643">
        <v>9989.9800000000014</v>
      </c>
      <c r="O643" t="s">
        <v>22</v>
      </c>
      <c r="P643" s="2" t="s">
        <v>23</v>
      </c>
      <c r="Q643" s="2" t="s">
        <v>24</v>
      </c>
    </row>
    <row r="644" spans="1:17" x14ac:dyDescent="0.3">
      <c r="A644">
        <v>202400384</v>
      </c>
      <c r="B644" s="1">
        <v>45337</v>
      </c>
      <c r="C644">
        <v>2024</v>
      </c>
      <c r="D644">
        <v>1</v>
      </c>
      <c r="E644">
        <v>2</v>
      </c>
      <c r="F644">
        <v>71</v>
      </c>
      <c r="G644" s="2" t="s">
        <v>80</v>
      </c>
      <c r="H644" s="2" t="s">
        <v>18</v>
      </c>
      <c r="I644" s="2" t="s">
        <v>65</v>
      </c>
      <c r="J644" s="2" t="s">
        <v>34</v>
      </c>
      <c r="K644" s="2" t="s">
        <v>39</v>
      </c>
      <c r="L644">
        <v>9</v>
      </c>
      <c r="M644">
        <v>1070.23</v>
      </c>
      <c r="N644">
        <v>9632.07</v>
      </c>
      <c r="O644" t="s">
        <v>29</v>
      </c>
      <c r="P644" s="2" t="s">
        <v>43</v>
      </c>
      <c r="Q644" s="2" t="s">
        <v>24</v>
      </c>
    </row>
    <row r="645" spans="1:17" hidden="1" x14ac:dyDescent="0.3">
      <c r="A645">
        <v>202400455</v>
      </c>
      <c r="B645" s="1">
        <v>45443</v>
      </c>
      <c r="C645">
        <v>2024</v>
      </c>
      <c r="D645">
        <v>2</v>
      </c>
      <c r="E645">
        <v>5</v>
      </c>
      <c r="F645">
        <v>55</v>
      </c>
      <c r="G645" s="2" t="s">
        <v>87</v>
      </c>
      <c r="H645" s="2" t="s">
        <v>69</v>
      </c>
      <c r="I645" s="2" t="s">
        <v>85</v>
      </c>
      <c r="J645" s="2" t="s">
        <v>57</v>
      </c>
      <c r="K645" s="2" t="s">
        <v>47</v>
      </c>
      <c r="L645">
        <v>2</v>
      </c>
      <c r="M645">
        <v>1786.67</v>
      </c>
      <c r="N645">
        <v>3573.34</v>
      </c>
      <c r="O645" t="s">
        <v>36</v>
      </c>
      <c r="P645" s="2" t="s">
        <v>43</v>
      </c>
      <c r="Q645" s="2" t="s">
        <v>40</v>
      </c>
    </row>
    <row r="646" spans="1:17" hidden="1" x14ac:dyDescent="0.3">
      <c r="A646">
        <v>202400265</v>
      </c>
      <c r="B646" s="1">
        <v>45406</v>
      </c>
      <c r="C646">
        <v>2024</v>
      </c>
      <c r="D646">
        <v>2</v>
      </c>
      <c r="E646">
        <v>4</v>
      </c>
      <c r="F646">
        <v>11</v>
      </c>
      <c r="G646" s="2" t="s">
        <v>66</v>
      </c>
      <c r="H646" s="2" t="s">
        <v>18</v>
      </c>
      <c r="I646" s="2" t="s">
        <v>67</v>
      </c>
      <c r="J646" s="2" t="s">
        <v>20</v>
      </c>
      <c r="K646" s="2" t="s">
        <v>97</v>
      </c>
      <c r="L646">
        <v>14</v>
      </c>
      <c r="M646">
        <v>1096.43</v>
      </c>
      <c r="N646">
        <v>15350.02</v>
      </c>
      <c r="O646" t="s">
        <v>22</v>
      </c>
      <c r="P646" s="2" t="s">
        <v>43</v>
      </c>
      <c r="Q646" s="2" t="s">
        <v>24</v>
      </c>
    </row>
    <row r="647" spans="1:17" hidden="1" x14ac:dyDescent="0.3">
      <c r="A647">
        <v>202400778</v>
      </c>
      <c r="B647" s="1">
        <v>45640</v>
      </c>
      <c r="C647">
        <v>2024</v>
      </c>
      <c r="D647">
        <v>4</v>
      </c>
      <c r="E647">
        <v>12</v>
      </c>
      <c r="F647">
        <v>79</v>
      </c>
      <c r="G647" s="2" t="s">
        <v>108</v>
      </c>
      <c r="H647" s="2" t="s">
        <v>69</v>
      </c>
      <c r="I647" s="2" t="s">
        <v>85</v>
      </c>
      <c r="J647" s="2" t="s">
        <v>57</v>
      </c>
      <c r="K647" s="2" t="s">
        <v>59</v>
      </c>
      <c r="L647">
        <v>6</v>
      </c>
      <c r="M647">
        <v>1707.83</v>
      </c>
      <c r="N647">
        <v>10246.98</v>
      </c>
      <c r="O647" t="s">
        <v>29</v>
      </c>
      <c r="P647" s="2" t="s">
        <v>23</v>
      </c>
      <c r="Q647" s="2" t="s">
        <v>24</v>
      </c>
    </row>
    <row r="648" spans="1:17" hidden="1" x14ac:dyDescent="0.3">
      <c r="A648">
        <v>202401003</v>
      </c>
      <c r="B648" s="1">
        <v>45636</v>
      </c>
      <c r="C648">
        <v>2024</v>
      </c>
      <c r="D648">
        <v>4</v>
      </c>
      <c r="E648">
        <v>12</v>
      </c>
      <c r="F648">
        <v>37</v>
      </c>
      <c r="G648" s="2" t="s">
        <v>96</v>
      </c>
      <c r="H648" s="2" t="s">
        <v>62</v>
      </c>
      <c r="I648" s="2" t="s">
        <v>56</v>
      </c>
      <c r="J648" s="2" t="s">
        <v>57</v>
      </c>
      <c r="K648" s="2" t="s">
        <v>70</v>
      </c>
      <c r="L648">
        <v>3</v>
      </c>
      <c r="M648">
        <v>745.36</v>
      </c>
      <c r="N648">
        <v>2236.08</v>
      </c>
      <c r="O648" t="s">
        <v>29</v>
      </c>
      <c r="P648" s="2" t="s">
        <v>30</v>
      </c>
      <c r="Q648" s="2" t="s">
        <v>24</v>
      </c>
    </row>
    <row r="649" spans="1:17" hidden="1" x14ac:dyDescent="0.3">
      <c r="A649">
        <v>202400445</v>
      </c>
      <c r="B649" s="1">
        <v>45473</v>
      </c>
      <c r="C649">
        <v>2024</v>
      </c>
      <c r="D649">
        <v>2</v>
      </c>
      <c r="E649">
        <v>6</v>
      </c>
      <c r="F649">
        <v>14</v>
      </c>
      <c r="G649" s="2" t="s">
        <v>106</v>
      </c>
      <c r="H649" s="2" t="s">
        <v>26</v>
      </c>
      <c r="I649" s="2" t="s">
        <v>54</v>
      </c>
      <c r="J649" s="2" t="s">
        <v>20</v>
      </c>
      <c r="K649" s="2" t="s">
        <v>52</v>
      </c>
      <c r="L649">
        <v>13</v>
      </c>
      <c r="M649">
        <v>462.75</v>
      </c>
      <c r="N649">
        <v>6015.75</v>
      </c>
      <c r="O649" t="s">
        <v>22</v>
      </c>
      <c r="P649" s="2" t="s">
        <v>48</v>
      </c>
      <c r="Q649" s="2" t="s">
        <v>24</v>
      </c>
    </row>
    <row r="650" spans="1:17" hidden="1" x14ac:dyDescent="0.3">
      <c r="A650">
        <v>202400396</v>
      </c>
      <c r="B650" s="1">
        <v>45504</v>
      </c>
      <c r="C650">
        <v>2024</v>
      </c>
      <c r="D650">
        <v>3</v>
      </c>
      <c r="E650">
        <v>7</v>
      </c>
      <c r="F650">
        <v>19</v>
      </c>
      <c r="G650" s="2" t="s">
        <v>122</v>
      </c>
      <c r="H650" s="2" t="s">
        <v>26</v>
      </c>
      <c r="I650" s="2" t="s">
        <v>38</v>
      </c>
      <c r="J650" s="2" t="s">
        <v>20</v>
      </c>
      <c r="K650" s="2" t="s">
        <v>42</v>
      </c>
      <c r="L650">
        <v>11</v>
      </c>
      <c r="M650">
        <v>1894.54</v>
      </c>
      <c r="N650">
        <v>20839.939999999999</v>
      </c>
      <c r="O650" t="s">
        <v>22</v>
      </c>
      <c r="P650" s="2" t="s">
        <v>48</v>
      </c>
      <c r="Q650" s="2" t="s">
        <v>24</v>
      </c>
    </row>
    <row r="651" spans="1:17" hidden="1" x14ac:dyDescent="0.3">
      <c r="A651">
        <v>202400865</v>
      </c>
      <c r="B651" s="1">
        <v>45563</v>
      </c>
      <c r="C651">
        <v>2024</v>
      </c>
      <c r="D651">
        <v>3</v>
      </c>
      <c r="E651">
        <v>9</v>
      </c>
      <c r="F651">
        <v>76</v>
      </c>
      <c r="G651" s="2" t="s">
        <v>104</v>
      </c>
      <c r="H651" s="2" t="s">
        <v>140</v>
      </c>
      <c r="I651" s="2" t="s">
        <v>33</v>
      </c>
      <c r="J651" s="2" t="s">
        <v>34</v>
      </c>
      <c r="K651" s="2" t="s">
        <v>70</v>
      </c>
      <c r="L651">
        <v>2</v>
      </c>
      <c r="M651">
        <v>1432.2</v>
      </c>
      <c r="N651">
        <v>2864.4</v>
      </c>
      <c r="O651" t="s">
        <v>36</v>
      </c>
      <c r="P651" s="2" t="s">
        <v>30</v>
      </c>
      <c r="Q651" s="2" t="s">
        <v>31</v>
      </c>
    </row>
    <row r="652" spans="1:17" hidden="1" x14ac:dyDescent="0.3">
      <c r="A652">
        <v>202400177</v>
      </c>
      <c r="B652" s="1">
        <v>45544</v>
      </c>
      <c r="C652">
        <v>2024</v>
      </c>
      <c r="D652">
        <v>3</v>
      </c>
      <c r="E652">
        <v>9</v>
      </c>
      <c r="F652">
        <v>35</v>
      </c>
      <c r="G652" s="2" t="s">
        <v>99</v>
      </c>
      <c r="H652" s="2" t="s">
        <v>140</v>
      </c>
      <c r="I652" s="2" t="s">
        <v>27</v>
      </c>
      <c r="J652" s="2" t="s">
        <v>20</v>
      </c>
      <c r="K652" s="2" t="s">
        <v>97</v>
      </c>
      <c r="L652">
        <v>11</v>
      </c>
      <c r="M652">
        <v>710.78</v>
      </c>
      <c r="N652">
        <v>7818.58</v>
      </c>
      <c r="O652" t="s">
        <v>22</v>
      </c>
      <c r="P652" s="2" t="s">
        <v>23</v>
      </c>
      <c r="Q652" s="2" t="s">
        <v>24</v>
      </c>
    </row>
    <row r="653" spans="1:17" x14ac:dyDescent="0.3">
      <c r="A653">
        <v>202400019</v>
      </c>
      <c r="B653" s="1">
        <v>45305</v>
      </c>
      <c r="C653">
        <v>2024</v>
      </c>
      <c r="D653">
        <v>1</v>
      </c>
      <c r="E653">
        <v>1</v>
      </c>
      <c r="F653">
        <v>65</v>
      </c>
      <c r="G653" s="2" t="s">
        <v>112</v>
      </c>
      <c r="H653" s="2" t="s">
        <v>69</v>
      </c>
      <c r="I653" s="2" t="s">
        <v>19</v>
      </c>
      <c r="J653" s="2" t="s">
        <v>20</v>
      </c>
      <c r="K653" s="2" t="s">
        <v>97</v>
      </c>
      <c r="L653">
        <v>5</v>
      </c>
      <c r="M653">
        <v>1962.65</v>
      </c>
      <c r="N653">
        <v>9813.25</v>
      </c>
      <c r="O653" t="s">
        <v>29</v>
      </c>
      <c r="P653" s="2" t="s">
        <v>30</v>
      </c>
      <c r="Q653" s="2" t="s">
        <v>40</v>
      </c>
    </row>
    <row r="654" spans="1:17" hidden="1" x14ac:dyDescent="0.3">
      <c r="A654">
        <v>202400723</v>
      </c>
      <c r="B654" s="1">
        <v>45553</v>
      </c>
      <c r="C654">
        <v>2024</v>
      </c>
      <c r="D654">
        <v>3</v>
      </c>
      <c r="E654">
        <v>9</v>
      </c>
      <c r="F654">
        <v>27</v>
      </c>
      <c r="G654" s="2" t="s">
        <v>83</v>
      </c>
      <c r="H654" s="2" t="s">
        <v>18</v>
      </c>
      <c r="I654" s="2" t="s">
        <v>74</v>
      </c>
      <c r="J654" s="2" t="s">
        <v>75</v>
      </c>
      <c r="K654" s="2" t="s">
        <v>60</v>
      </c>
      <c r="L654">
        <v>13</v>
      </c>
      <c r="M654">
        <v>1937.82</v>
      </c>
      <c r="N654">
        <v>25191.66</v>
      </c>
      <c r="O654" t="s">
        <v>22</v>
      </c>
      <c r="P654" s="2" t="s">
        <v>48</v>
      </c>
      <c r="Q654" s="2" t="s">
        <v>40</v>
      </c>
    </row>
    <row r="655" spans="1:17" hidden="1" x14ac:dyDescent="0.3">
      <c r="A655">
        <v>202400833</v>
      </c>
      <c r="B655" s="1">
        <v>45494</v>
      </c>
      <c r="C655">
        <v>2024</v>
      </c>
      <c r="D655">
        <v>3</v>
      </c>
      <c r="E655">
        <v>7</v>
      </c>
      <c r="F655">
        <v>13</v>
      </c>
      <c r="G655" s="2" t="s">
        <v>72</v>
      </c>
      <c r="H655" s="2" t="s">
        <v>69</v>
      </c>
      <c r="I655" s="2" t="s">
        <v>38</v>
      </c>
      <c r="J655" s="2" t="s">
        <v>20</v>
      </c>
      <c r="K655" s="2" t="s">
        <v>28</v>
      </c>
      <c r="L655">
        <v>13</v>
      </c>
      <c r="M655">
        <v>1634.43</v>
      </c>
      <c r="N655">
        <v>21247.59</v>
      </c>
      <c r="O655" t="s">
        <v>22</v>
      </c>
      <c r="P655" s="2" t="s">
        <v>23</v>
      </c>
      <c r="Q655" s="2" t="s">
        <v>24</v>
      </c>
    </row>
    <row r="656" spans="1:17" hidden="1" x14ac:dyDescent="0.3">
      <c r="A656">
        <v>202400062</v>
      </c>
      <c r="B656" s="1">
        <v>45502</v>
      </c>
      <c r="C656">
        <v>2024</v>
      </c>
      <c r="D656">
        <v>3</v>
      </c>
      <c r="E656">
        <v>7</v>
      </c>
      <c r="F656">
        <v>23</v>
      </c>
      <c r="G656" s="2" t="s">
        <v>86</v>
      </c>
      <c r="H656" s="2" t="s">
        <v>26</v>
      </c>
      <c r="I656" s="2" t="s">
        <v>33</v>
      </c>
      <c r="J656" s="2" t="s">
        <v>34</v>
      </c>
      <c r="K656" s="2" t="s">
        <v>47</v>
      </c>
      <c r="L656">
        <v>7</v>
      </c>
      <c r="M656">
        <v>376.88</v>
      </c>
      <c r="N656">
        <v>2638.16</v>
      </c>
      <c r="O656" t="s">
        <v>29</v>
      </c>
      <c r="P656" s="2" t="s">
        <v>23</v>
      </c>
      <c r="Q656" s="2" t="s">
        <v>40</v>
      </c>
    </row>
    <row r="657" spans="1:17" hidden="1" x14ac:dyDescent="0.3">
      <c r="A657">
        <v>202400273</v>
      </c>
      <c r="B657" s="1">
        <v>45457</v>
      </c>
      <c r="C657">
        <v>2024</v>
      </c>
      <c r="D657">
        <v>2</v>
      </c>
      <c r="E657">
        <v>6</v>
      </c>
      <c r="F657">
        <v>7</v>
      </c>
      <c r="G657" s="2" t="s">
        <v>25</v>
      </c>
      <c r="H657" s="2" t="s">
        <v>26</v>
      </c>
      <c r="I657" s="2" t="s">
        <v>27</v>
      </c>
      <c r="J657" s="2" t="s">
        <v>20</v>
      </c>
      <c r="K657" s="2" t="s">
        <v>21</v>
      </c>
      <c r="L657">
        <v>7</v>
      </c>
      <c r="M657">
        <v>1435.9</v>
      </c>
      <c r="N657">
        <v>10051.300000000001</v>
      </c>
      <c r="O657" t="s">
        <v>29</v>
      </c>
      <c r="P657" s="2" t="s">
        <v>43</v>
      </c>
      <c r="Q657" s="2" t="s">
        <v>41</v>
      </c>
    </row>
    <row r="658" spans="1:17" hidden="1" x14ac:dyDescent="0.3">
      <c r="A658">
        <v>202401137</v>
      </c>
      <c r="B658" s="1">
        <v>45464</v>
      </c>
      <c r="C658">
        <v>2024</v>
      </c>
      <c r="D658">
        <v>2</v>
      </c>
      <c r="E658">
        <v>6</v>
      </c>
      <c r="F658">
        <v>36</v>
      </c>
      <c r="G658" s="2" t="s">
        <v>123</v>
      </c>
      <c r="H658" s="2" t="s">
        <v>62</v>
      </c>
      <c r="I658" s="2" t="s">
        <v>54</v>
      </c>
      <c r="J658" s="2" t="s">
        <v>20</v>
      </c>
      <c r="K658" s="2" t="s">
        <v>97</v>
      </c>
      <c r="L658">
        <v>5</v>
      </c>
      <c r="M658">
        <v>1779.27</v>
      </c>
      <c r="N658">
        <v>8896.35</v>
      </c>
      <c r="O658" t="s">
        <v>29</v>
      </c>
      <c r="P658" s="2" t="s">
        <v>48</v>
      </c>
      <c r="Q658" s="2" t="s">
        <v>24</v>
      </c>
    </row>
    <row r="659" spans="1:17" hidden="1" x14ac:dyDescent="0.3">
      <c r="A659">
        <v>202400279</v>
      </c>
      <c r="B659" s="1">
        <v>45469</v>
      </c>
      <c r="C659">
        <v>2024</v>
      </c>
      <c r="D659">
        <v>2</v>
      </c>
      <c r="E659">
        <v>6</v>
      </c>
      <c r="F659">
        <v>34</v>
      </c>
      <c r="G659" s="2" t="s">
        <v>95</v>
      </c>
      <c r="H659" s="2" t="s">
        <v>18</v>
      </c>
      <c r="I659" s="2" t="s">
        <v>54</v>
      </c>
      <c r="J659" s="2" t="s">
        <v>20</v>
      </c>
      <c r="K659" s="2" t="s">
        <v>97</v>
      </c>
      <c r="L659">
        <v>4</v>
      </c>
      <c r="M659">
        <v>1934.11</v>
      </c>
      <c r="N659">
        <v>7736.44</v>
      </c>
      <c r="O659" t="s">
        <v>29</v>
      </c>
      <c r="P659" s="2" t="s">
        <v>43</v>
      </c>
      <c r="Q659" s="2" t="s">
        <v>40</v>
      </c>
    </row>
    <row r="660" spans="1:17" x14ac:dyDescent="0.3">
      <c r="A660">
        <v>202401184</v>
      </c>
      <c r="B660" s="1">
        <v>45370</v>
      </c>
      <c r="C660">
        <v>2024</v>
      </c>
      <c r="D660">
        <v>1</v>
      </c>
      <c r="E660">
        <v>3</v>
      </c>
      <c r="F660">
        <v>54</v>
      </c>
      <c r="G660" s="2" t="s">
        <v>68</v>
      </c>
      <c r="H660" s="2" t="s">
        <v>69</v>
      </c>
      <c r="I660" s="2" t="s">
        <v>19</v>
      </c>
      <c r="J660" s="2" t="s">
        <v>20</v>
      </c>
      <c r="K660" s="2" t="s">
        <v>52</v>
      </c>
      <c r="L660">
        <v>14</v>
      </c>
      <c r="M660">
        <v>597.42999999999995</v>
      </c>
      <c r="N660">
        <v>8364.0199999999986</v>
      </c>
      <c r="O660" t="s">
        <v>22</v>
      </c>
      <c r="P660" s="2" t="s">
        <v>43</v>
      </c>
      <c r="Q660" s="2" t="s">
        <v>24</v>
      </c>
    </row>
    <row r="661" spans="1:17" hidden="1" x14ac:dyDescent="0.3">
      <c r="A661">
        <v>202400369</v>
      </c>
      <c r="B661" s="1">
        <v>45589</v>
      </c>
      <c r="C661">
        <v>2024</v>
      </c>
      <c r="D661">
        <v>4</v>
      </c>
      <c r="E661">
        <v>10</v>
      </c>
      <c r="F661">
        <v>29</v>
      </c>
      <c r="G661" s="2" t="s">
        <v>61</v>
      </c>
      <c r="H661" s="2" t="s">
        <v>62</v>
      </c>
      <c r="I661" s="2" t="s">
        <v>19</v>
      </c>
      <c r="J661" s="2" t="s">
        <v>20</v>
      </c>
      <c r="K661" s="2" t="s">
        <v>51</v>
      </c>
      <c r="L661">
        <v>14</v>
      </c>
      <c r="M661">
        <v>1393.97</v>
      </c>
      <c r="N661">
        <v>19515.580000000002</v>
      </c>
      <c r="O661" t="s">
        <v>22</v>
      </c>
      <c r="P661" s="2" t="s">
        <v>30</v>
      </c>
      <c r="Q661" s="2" t="s">
        <v>24</v>
      </c>
    </row>
    <row r="662" spans="1:17" hidden="1" x14ac:dyDescent="0.3">
      <c r="A662">
        <v>202400907</v>
      </c>
      <c r="B662" s="1">
        <v>45388</v>
      </c>
      <c r="C662">
        <v>2024</v>
      </c>
      <c r="D662">
        <v>2</v>
      </c>
      <c r="E662">
        <v>4</v>
      </c>
      <c r="F662">
        <v>66</v>
      </c>
      <c r="G662" s="2" t="s">
        <v>107</v>
      </c>
      <c r="H662" s="2" t="s">
        <v>69</v>
      </c>
      <c r="I662" s="2" t="s">
        <v>78</v>
      </c>
      <c r="J662" s="2" t="s">
        <v>75</v>
      </c>
      <c r="K662" s="2" t="s">
        <v>70</v>
      </c>
      <c r="L662">
        <v>13</v>
      </c>
      <c r="M662">
        <v>1211.52</v>
      </c>
      <c r="N662">
        <v>15749.76</v>
      </c>
      <c r="O662" t="s">
        <v>22</v>
      </c>
      <c r="P662" s="2" t="s">
        <v>48</v>
      </c>
      <c r="Q662" s="2" t="s">
        <v>24</v>
      </c>
    </row>
    <row r="663" spans="1:17" hidden="1" x14ac:dyDescent="0.3">
      <c r="A663">
        <v>202400838</v>
      </c>
      <c r="B663" s="1">
        <v>45547</v>
      </c>
      <c r="C663">
        <v>2024</v>
      </c>
      <c r="D663">
        <v>3</v>
      </c>
      <c r="E663">
        <v>9</v>
      </c>
      <c r="F663">
        <v>3</v>
      </c>
      <c r="G663" s="2" t="s">
        <v>44</v>
      </c>
      <c r="H663" s="2" t="s">
        <v>26</v>
      </c>
      <c r="I663" s="2" t="s">
        <v>38</v>
      </c>
      <c r="J663" s="2" t="s">
        <v>20</v>
      </c>
      <c r="K663" s="2" t="s">
        <v>50</v>
      </c>
      <c r="L663">
        <v>11</v>
      </c>
      <c r="M663">
        <v>1530.73</v>
      </c>
      <c r="N663">
        <v>16838.03</v>
      </c>
      <c r="O663" t="s">
        <v>22</v>
      </c>
      <c r="P663" s="2" t="s">
        <v>43</v>
      </c>
      <c r="Q663" s="2" t="s">
        <v>40</v>
      </c>
    </row>
    <row r="664" spans="1:17" x14ac:dyDescent="0.3">
      <c r="A664">
        <v>202401031</v>
      </c>
      <c r="B664" s="1">
        <v>45331</v>
      </c>
      <c r="C664">
        <v>2024</v>
      </c>
      <c r="D664">
        <v>1</v>
      </c>
      <c r="E664">
        <v>2</v>
      </c>
      <c r="F664">
        <v>34</v>
      </c>
      <c r="G664" s="2" t="s">
        <v>95</v>
      </c>
      <c r="H664" s="2" t="s">
        <v>18</v>
      </c>
      <c r="I664" s="2" t="s">
        <v>54</v>
      </c>
      <c r="J664" s="2" t="s">
        <v>20</v>
      </c>
      <c r="K664" s="2" t="s">
        <v>47</v>
      </c>
      <c r="L664">
        <v>1</v>
      </c>
      <c r="M664">
        <v>316.39999999999998</v>
      </c>
      <c r="N664">
        <v>316.39999999999998</v>
      </c>
      <c r="O664" t="s">
        <v>36</v>
      </c>
      <c r="P664" s="2" t="s">
        <v>43</v>
      </c>
      <c r="Q664" s="2" t="s">
        <v>24</v>
      </c>
    </row>
    <row r="665" spans="1:17" hidden="1" x14ac:dyDescent="0.3">
      <c r="A665">
        <v>202400738</v>
      </c>
      <c r="B665" s="1">
        <v>45397</v>
      </c>
      <c r="C665">
        <v>2024</v>
      </c>
      <c r="D665">
        <v>2</v>
      </c>
      <c r="E665">
        <v>4</v>
      </c>
      <c r="F665">
        <v>22</v>
      </c>
      <c r="G665" s="2" t="s">
        <v>79</v>
      </c>
      <c r="H665" s="2" t="s">
        <v>18</v>
      </c>
      <c r="I665" s="2" t="s">
        <v>65</v>
      </c>
      <c r="J665" s="2" t="s">
        <v>34</v>
      </c>
      <c r="K665" s="2" t="s">
        <v>39</v>
      </c>
      <c r="L665">
        <v>12</v>
      </c>
      <c r="M665">
        <v>1745.23</v>
      </c>
      <c r="N665">
        <v>20942.760000000002</v>
      </c>
      <c r="O665" t="s">
        <v>22</v>
      </c>
      <c r="P665" s="2" t="s">
        <v>23</v>
      </c>
      <c r="Q665" s="2" t="s">
        <v>24</v>
      </c>
    </row>
    <row r="666" spans="1:17" x14ac:dyDescent="0.3">
      <c r="A666">
        <v>202400799</v>
      </c>
      <c r="B666" s="1">
        <v>45359</v>
      </c>
      <c r="C666">
        <v>2024</v>
      </c>
      <c r="D666">
        <v>1</v>
      </c>
      <c r="E666">
        <v>3</v>
      </c>
      <c r="F666">
        <v>49</v>
      </c>
      <c r="G666" s="2" t="s">
        <v>83</v>
      </c>
      <c r="H666" s="2" t="s">
        <v>69</v>
      </c>
      <c r="I666" s="2" t="s">
        <v>56</v>
      </c>
      <c r="J666" s="2" t="s">
        <v>57</v>
      </c>
      <c r="K666" s="2" t="s">
        <v>50</v>
      </c>
      <c r="L666">
        <v>9</v>
      </c>
      <c r="M666">
        <v>1838.25</v>
      </c>
      <c r="N666">
        <v>16544.25</v>
      </c>
      <c r="O666" t="s">
        <v>29</v>
      </c>
      <c r="P666" s="2" t="s">
        <v>30</v>
      </c>
      <c r="Q666" s="2" t="s">
        <v>24</v>
      </c>
    </row>
    <row r="667" spans="1:17" hidden="1" x14ac:dyDescent="0.3">
      <c r="A667">
        <v>202400548</v>
      </c>
      <c r="B667" s="1">
        <v>45506</v>
      </c>
      <c r="C667">
        <v>2024</v>
      </c>
      <c r="D667">
        <v>3</v>
      </c>
      <c r="E667">
        <v>8</v>
      </c>
      <c r="F667">
        <v>55</v>
      </c>
      <c r="G667" s="2" t="s">
        <v>87</v>
      </c>
      <c r="H667" s="2" t="s">
        <v>69</v>
      </c>
      <c r="I667" s="2" t="s">
        <v>85</v>
      </c>
      <c r="J667" s="2" t="s">
        <v>57</v>
      </c>
      <c r="K667" s="2" t="s">
        <v>71</v>
      </c>
      <c r="L667">
        <v>10</v>
      </c>
      <c r="M667">
        <v>868.83</v>
      </c>
      <c r="N667">
        <v>8688.3000000000011</v>
      </c>
      <c r="O667" t="s">
        <v>22</v>
      </c>
      <c r="P667" s="2" t="s">
        <v>43</v>
      </c>
      <c r="Q667" s="2" t="s">
        <v>31</v>
      </c>
    </row>
    <row r="668" spans="1:17" hidden="1" x14ac:dyDescent="0.3">
      <c r="A668">
        <v>202400900</v>
      </c>
      <c r="B668" s="1">
        <v>45466</v>
      </c>
      <c r="C668">
        <v>2024</v>
      </c>
      <c r="D668">
        <v>2</v>
      </c>
      <c r="E668">
        <v>6</v>
      </c>
      <c r="F668">
        <v>18</v>
      </c>
      <c r="G668" s="2" t="s">
        <v>116</v>
      </c>
      <c r="H668" s="2" t="s">
        <v>62</v>
      </c>
      <c r="I668" s="2" t="s">
        <v>54</v>
      </c>
      <c r="J668" s="2" t="s">
        <v>20</v>
      </c>
      <c r="K668" s="2" t="s">
        <v>60</v>
      </c>
      <c r="L668">
        <v>1</v>
      </c>
      <c r="M668">
        <v>547.37</v>
      </c>
      <c r="N668">
        <v>547.37</v>
      </c>
      <c r="O668" t="s">
        <v>36</v>
      </c>
      <c r="P668" s="2" t="s">
        <v>30</v>
      </c>
      <c r="Q668" s="2" t="s">
        <v>24</v>
      </c>
    </row>
    <row r="669" spans="1:17" hidden="1" x14ac:dyDescent="0.3">
      <c r="A669">
        <v>202400689</v>
      </c>
      <c r="B669" s="1">
        <v>45513</v>
      </c>
      <c r="C669">
        <v>2024</v>
      </c>
      <c r="D669">
        <v>3</v>
      </c>
      <c r="E669">
        <v>8</v>
      </c>
      <c r="F669">
        <v>65</v>
      </c>
      <c r="G669" s="2" t="s">
        <v>112</v>
      </c>
      <c r="H669" s="2" t="s">
        <v>69</v>
      </c>
      <c r="I669" s="2" t="s">
        <v>19</v>
      </c>
      <c r="J669" s="2" t="s">
        <v>20</v>
      </c>
      <c r="K669" s="2" t="s">
        <v>35</v>
      </c>
      <c r="L669">
        <v>12</v>
      </c>
      <c r="M669">
        <v>838.33</v>
      </c>
      <c r="N669">
        <v>10059.960000000001</v>
      </c>
      <c r="O669" t="s">
        <v>22</v>
      </c>
      <c r="P669" s="2" t="s">
        <v>30</v>
      </c>
      <c r="Q669" s="2" t="s">
        <v>24</v>
      </c>
    </row>
    <row r="670" spans="1:17" hidden="1" x14ac:dyDescent="0.3">
      <c r="A670">
        <v>202400921</v>
      </c>
      <c r="B670" s="1">
        <v>45628</v>
      </c>
      <c r="C670">
        <v>2024</v>
      </c>
      <c r="D670">
        <v>4</v>
      </c>
      <c r="E670">
        <v>12</v>
      </c>
      <c r="F670">
        <v>29</v>
      </c>
      <c r="G670" s="2" t="s">
        <v>61</v>
      </c>
      <c r="H670" s="2" t="s">
        <v>62</v>
      </c>
      <c r="I670" s="2" t="s">
        <v>19</v>
      </c>
      <c r="J670" s="2" t="s">
        <v>20</v>
      </c>
      <c r="K670" s="2" t="s">
        <v>50</v>
      </c>
      <c r="L670">
        <v>5</v>
      </c>
      <c r="M670">
        <v>1599.82</v>
      </c>
      <c r="N670">
        <v>7999.0999999999995</v>
      </c>
      <c r="O670" t="s">
        <v>29</v>
      </c>
      <c r="P670" s="2" t="s">
        <v>43</v>
      </c>
      <c r="Q670" s="2" t="s">
        <v>24</v>
      </c>
    </row>
    <row r="671" spans="1:17" hidden="1" x14ac:dyDescent="0.3">
      <c r="A671">
        <v>202400457</v>
      </c>
      <c r="B671" s="1">
        <v>45648</v>
      </c>
      <c r="C671">
        <v>2024</v>
      </c>
      <c r="D671">
        <v>4</v>
      </c>
      <c r="E671">
        <v>12</v>
      </c>
      <c r="F671">
        <v>49</v>
      </c>
      <c r="G671" s="2" t="s">
        <v>83</v>
      </c>
      <c r="H671" s="2" t="s">
        <v>69</v>
      </c>
      <c r="I671" s="2" t="s">
        <v>56</v>
      </c>
      <c r="J671" s="2" t="s">
        <v>57</v>
      </c>
      <c r="K671" s="2" t="s">
        <v>28</v>
      </c>
      <c r="L671">
        <v>5</v>
      </c>
      <c r="M671">
        <v>1159.49</v>
      </c>
      <c r="N671">
        <v>5797.45</v>
      </c>
      <c r="O671" t="s">
        <v>29</v>
      </c>
      <c r="P671" s="2" t="s">
        <v>43</v>
      </c>
      <c r="Q671" s="2" t="s">
        <v>24</v>
      </c>
    </row>
    <row r="672" spans="1:17" x14ac:dyDescent="0.3">
      <c r="A672">
        <v>202400394</v>
      </c>
      <c r="B672" s="1">
        <v>45307</v>
      </c>
      <c r="C672">
        <v>2024</v>
      </c>
      <c r="D672">
        <v>1</v>
      </c>
      <c r="E672">
        <v>1</v>
      </c>
      <c r="F672">
        <v>52</v>
      </c>
      <c r="G672" s="2" t="s">
        <v>105</v>
      </c>
      <c r="H672" s="2" t="s">
        <v>62</v>
      </c>
      <c r="I672" s="2" t="s">
        <v>78</v>
      </c>
      <c r="J672" s="2" t="s">
        <v>75</v>
      </c>
      <c r="K672" s="2" t="s">
        <v>50</v>
      </c>
      <c r="L672">
        <v>4</v>
      </c>
      <c r="M672">
        <v>259.60000000000002</v>
      </c>
      <c r="N672">
        <v>1038.4000000000001</v>
      </c>
      <c r="O672" t="s">
        <v>29</v>
      </c>
      <c r="P672" s="2" t="s">
        <v>43</v>
      </c>
      <c r="Q672" s="2" t="s">
        <v>24</v>
      </c>
    </row>
    <row r="673" spans="1:17" x14ac:dyDescent="0.3">
      <c r="A673">
        <v>202400676</v>
      </c>
      <c r="B673" s="1">
        <v>45320</v>
      </c>
      <c r="C673">
        <v>2024</v>
      </c>
      <c r="D673">
        <v>1</v>
      </c>
      <c r="E673">
        <v>1</v>
      </c>
      <c r="F673">
        <v>61</v>
      </c>
      <c r="G673" s="2" t="s">
        <v>90</v>
      </c>
      <c r="H673" s="2" t="s">
        <v>69</v>
      </c>
      <c r="I673" s="2" t="s">
        <v>65</v>
      </c>
      <c r="J673" s="2" t="s">
        <v>34</v>
      </c>
      <c r="K673" s="2" t="s">
        <v>52</v>
      </c>
      <c r="L673">
        <v>12</v>
      </c>
      <c r="M673">
        <v>1276.47</v>
      </c>
      <c r="N673">
        <v>15317.64</v>
      </c>
      <c r="O673" t="s">
        <v>22</v>
      </c>
      <c r="P673" s="2" t="s">
        <v>43</v>
      </c>
      <c r="Q673" s="2" t="s">
        <v>24</v>
      </c>
    </row>
    <row r="674" spans="1:17" hidden="1" x14ac:dyDescent="0.3">
      <c r="A674">
        <v>202400933</v>
      </c>
      <c r="B674" s="1">
        <v>45596</v>
      </c>
      <c r="C674">
        <v>2024</v>
      </c>
      <c r="D674">
        <v>4</v>
      </c>
      <c r="E674">
        <v>10</v>
      </c>
      <c r="F674">
        <v>30</v>
      </c>
      <c r="G674" s="2" t="s">
        <v>91</v>
      </c>
      <c r="H674" s="2" t="s">
        <v>69</v>
      </c>
      <c r="I674" s="2" t="s">
        <v>65</v>
      </c>
      <c r="J674" s="2" t="s">
        <v>34</v>
      </c>
      <c r="K674" s="2" t="s">
        <v>28</v>
      </c>
      <c r="L674">
        <v>7</v>
      </c>
      <c r="M674">
        <v>1229.3900000000001</v>
      </c>
      <c r="N674">
        <v>8605.7300000000014</v>
      </c>
      <c r="O674" t="s">
        <v>29</v>
      </c>
      <c r="P674" s="2" t="s">
        <v>30</v>
      </c>
      <c r="Q674" s="2" t="s">
        <v>24</v>
      </c>
    </row>
    <row r="675" spans="1:17" hidden="1" x14ac:dyDescent="0.3">
      <c r="A675">
        <v>202400987</v>
      </c>
      <c r="B675" s="1">
        <v>45432</v>
      </c>
      <c r="C675">
        <v>2024</v>
      </c>
      <c r="D675">
        <v>2</v>
      </c>
      <c r="E675">
        <v>5</v>
      </c>
      <c r="F675">
        <v>33</v>
      </c>
      <c r="G675" s="2" t="s">
        <v>133</v>
      </c>
      <c r="H675" s="2" t="s">
        <v>140</v>
      </c>
      <c r="I675" s="2" t="s">
        <v>33</v>
      </c>
      <c r="J675" s="2" t="s">
        <v>34</v>
      </c>
      <c r="K675" s="2" t="s">
        <v>59</v>
      </c>
      <c r="L675">
        <v>7</v>
      </c>
      <c r="M675">
        <v>424.53</v>
      </c>
      <c r="N675">
        <v>2971.71</v>
      </c>
      <c r="O675" t="s">
        <v>29</v>
      </c>
      <c r="P675" s="2" t="s">
        <v>23</v>
      </c>
      <c r="Q675" s="2" t="s">
        <v>24</v>
      </c>
    </row>
    <row r="676" spans="1:17" hidden="1" x14ac:dyDescent="0.3">
      <c r="A676">
        <v>202400376</v>
      </c>
      <c r="B676" s="1">
        <v>45509</v>
      </c>
      <c r="C676">
        <v>2024</v>
      </c>
      <c r="D676">
        <v>3</v>
      </c>
      <c r="E676">
        <v>8</v>
      </c>
      <c r="F676">
        <v>7</v>
      </c>
      <c r="G676" s="2" t="s">
        <v>25</v>
      </c>
      <c r="H676" s="2" t="s">
        <v>26</v>
      </c>
      <c r="I676" s="2" t="s">
        <v>27</v>
      </c>
      <c r="J676" s="2" t="s">
        <v>20</v>
      </c>
      <c r="K676" s="2" t="s">
        <v>35</v>
      </c>
      <c r="L676">
        <v>5</v>
      </c>
      <c r="M676">
        <v>1789.7</v>
      </c>
      <c r="N676">
        <v>8948.5</v>
      </c>
      <c r="O676" t="s">
        <v>29</v>
      </c>
      <c r="P676" s="2" t="s">
        <v>43</v>
      </c>
      <c r="Q676" s="2" t="s">
        <v>49</v>
      </c>
    </row>
    <row r="677" spans="1:17" x14ac:dyDescent="0.3">
      <c r="A677">
        <v>202400413</v>
      </c>
      <c r="B677" s="1">
        <v>45309</v>
      </c>
      <c r="C677">
        <v>2024</v>
      </c>
      <c r="D677">
        <v>1</v>
      </c>
      <c r="E677">
        <v>1</v>
      </c>
      <c r="F677">
        <v>12</v>
      </c>
      <c r="G677" s="2" t="s">
        <v>119</v>
      </c>
      <c r="H677" s="2" t="s">
        <v>26</v>
      </c>
      <c r="I677" s="2" t="s">
        <v>67</v>
      </c>
      <c r="J677" s="2" t="s">
        <v>20</v>
      </c>
      <c r="K677" s="2" t="s">
        <v>97</v>
      </c>
      <c r="L677">
        <v>9</v>
      </c>
      <c r="M677">
        <v>1742.76</v>
      </c>
      <c r="N677">
        <v>15684.84</v>
      </c>
      <c r="O677" t="s">
        <v>29</v>
      </c>
      <c r="P677" s="2" t="s">
        <v>30</v>
      </c>
      <c r="Q677" s="2" t="s">
        <v>24</v>
      </c>
    </row>
    <row r="678" spans="1:17" hidden="1" x14ac:dyDescent="0.3">
      <c r="A678">
        <v>202401133</v>
      </c>
      <c r="B678" s="1">
        <v>45483</v>
      </c>
      <c r="C678">
        <v>2024</v>
      </c>
      <c r="D678">
        <v>3</v>
      </c>
      <c r="E678">
        <v>7</v>
      </c>
      <c r="F678">
        <v>71</v>
      </c>
      <c r="G678" s="2" t="s">
        <v>80</v>
      </c>
      <c r="H678" s="2" t="s">
        <v>18</v>
      </c>
      <c r="I678" s="2" t="s">
        <v>65</v>
      </c>
      <c r="J678" s="2" t="s">
        <v>34</v>
      </c>
      <c r="K678" s="2" t="s">
        <v>60</v>
      </c>
      <c r="L678">
        <v>6</v>
      </c>
      <c r="M678">
        <v>668.13</v>
      </c>
      <c r="N678">
        <v>4008.7799999999997</v>
      </c>
      <c r="O678" t="s">
        <v>29</v>
      </c>
      <c r="P678" s="2" t="s">
        <v>48</v>
      </c>
      <c r="Q678" s="2" t="s">
        <v>31</v>
      </c>
    </row>
    <row r="679" spans="1:17" hidden="1" x14ac:dyDescent="0.3">
      <c r="A679">
        <v>202400882</v>
      </c>
      <c r="B679" s="1">
        <v>45581</v>
      </c>
      <c r="C679">
        <v>2024</v>
      </c>
      <c r="D679">
        <v>4</v>
      </c>
      <c r="E679">
        <v>10</v>
      </c>
      <c r="F679">
        <v>51</v>
      </c>
      <c r="G679" s="2" t="s">
        <v>132</v>
      </c>
      <c r="H679" s="2" t="s">
        <v>62</v>
      </c>
      <c r="I679" s="2" t="s">
        <v>78</v>
      </c>
      <c r="J679" s="2" t="s">
        <v>75</v>
      </c>
      <c r="K679" s="2" t="s">
        <v>28</v>
      </c>
      <c r="L679">
        <v>3</v>
      </c>
      <c r="M679">
        <v>724.89</v>
      </c>
      <c r="N679">
        <v>2174.67</v>
      </c>
      <c r="O679" t="s">
        <v>29</v>
      </c>
      <c r="P679" s="2" t="s">
        <v>30</v>
      </c>
      <c r="Q679" s="2" t="s">
        <v>24</v>
      </c>
    </row>
    <row r="680" spans="1:17" hidden="1" x14ac:dyDescent="0.3">
      <c r="A680">
        <v>202400501</v>
      </c>
      <c r="B680" s="1">
        <v>45391</v>
      </c>
      <c r="C680">
        <v>2024</v>
      </c>
      <c r="D680">
        <v>2</v>
      </c>
      <c r="E680">
        <v>4</v>
      </c>
      <c r="F680">
        <v>25</v>
      </c>
      <c r="G680" s="2" t="s">
        <v>117</v>
      </c>
      <c r="H680" s="2" t="s">
        <v>26</v>
      </c>
      <c r="I680" s="2" t="s">
        <v>27</v>
      </c>
      <c r="J680" s="2" t="s">
        <v>20</v>
      </c>
      <c r="K680" s="2" t="s">
        <v>21</v>
      </c>
      <c r="L680">
        <v>1</v>
      </c>
      <c r="M680">
        <v>728.32</v>
      </c>
      <c r="N680">
        <v>728.32</v>
      </c>
      <c r="O680" t="s">
        <v>36</v>
      </c>
      <c r="P680" s="2" t="s">
        <v>30</v>
      </c>
      <c r="Q680" s="2" t="s">
        <v>24</v>
      </c>
    </row>
    <row r="681" spans="1:17" hidden="1" x14ac:dyDescent="0.3">
      <c r="A681">
        <v>202400819</v>
      </c>
      <c r="B681" s="1">
        <v>45476</v>
      </c>
      <c r="C681">
        <v>2024</v>
      </c>
      <c r="D681">
        <v>3</v>
      </c>
      <c r="E681">
        <v>7</v>
      </c>
      <c r="F681">
        <v>12</v>
      </c>
      <c r="G681" s="2" t="s">
        <v>119</v>
      </c>
      <c r="H681" s="2" t="s">
        <v>26</v>
      </c>
      <c r="I681" s="2" t="s">
        <v>67</v>
      </c>
      <c r="J681" s="2" t="s">
        <v>20</v>
      </c>
      <c r="K681" s="2" t="s">
        <v>59</v>
      </c>
      <c r="L681">
        <v>3</v>
      </c>
      <c r="M681">
        <v>1068.77</v>
      </c>
      <c r="N681">
        <v>3206.31</v>
      </c>
      <c r="O681" t="s">
        <v>29</v>
      </c>
      <c r="P681" s="2" t="s">
        <v>43</v>
      </c>
      <c r="Q681" s="2" t="s">
        <v>24</v>
      </c>
    </row>
    <row r="682" spans="1:17" hidden="1" x14ac:dyDescent="0.3">
      <c r="A682">
        <v>202400617</v>
      </c>
      <c r="B682" s="1">
        <v>45465</v>
      </c>
      <c r="C682">
        <v>2024</v>
      </c>
      <c r="D682">
        <v>2</v>
      </c>
      <c r="E682">
        <v>6</v>
      </c>
      <c r="F682">
        <v>61</v>
      </c>
      <c r="G682" s="2" t="s">
        <v>90</v>
      </c>
      <c r="H682" s="2" t="s">
        <v>69</v>
      </c>
      <c r="I682" s="2" t="s">
        <v>65</v>
      </c>
      <c r="J682" s="2" t="s">
        <v>34</v>
      </c>
      <c r="K682" s="2" t="s">
        <v>71</v>
      </c>
      <c r="L682">
        <v>2</v>
      </c>
      <c r="M682">
        <v>1329.1</v>
      </c>
      <c r="N682">
        <v>2658.2</v>
      </c>
      <c r="O682" t="s">
        <v>36</v>
      </c>
      <c r="P682" s="2" t="s">
        <v>30</v>
      </c>
      <c r="Q682" s="2" t="s">
        <v>31</v>
      </c>
    </row>
    <row r="683" spans="1:17" hidden="1" x14ac:dyDescent="0.3">
      <c r="A683">
        <v>202400115</v>
      </c>
      <c r="B683" s="1">
        <v>45523</v>
      </c>
      <c r="C683">
        <v>2024</v>
      </c>
      <c r="D683">
        <v>3</v>
      </c>
      <c r="E683">
        <v>8</v>
      </c>
      <c r="F683">
        <v>51</v>
      </c>
      <c r="G683" s="2" t="s">
        <v>132</v>
      </c>
      <c r="H683" s="2" t="s">
        <v>62</v>
      </c>
      <c r="I683" s="2" t="s">
        <v>78</v>
      </c>
      <c r="J683" s="2" t="s">
        <v>75</v>
      </c>
      <c r="K683" s="2" t="s">
        <v>51</v>
      </c>
      <c r="L683">
        <v>4</v>
      </c>
      <c r="M683">
        <v>1171.54</v>
      </c>
      <c r="N683">
        <v>4686.16</v>
      </c>
      <c r="O683" t="s">
        <v>29</v>
      </c>
      <c r="P683" s="2" t="s">
        <v>48</v>
      </c>
      <c r="Q683" s="2" t="s">
        <v>45</v>
      </c>
    </row>
    <row r="684" spans="1:17" hidden="1" x14ac:dyDescent="0.3">
      <c r="A684">
        <v>202400602</v>
      </c>
      <c r="B684" s="1">
        <v>45525</v>
      </c>
      <c r="C684">
        <v>2024</v>
      </c>
      <c r="D684">
        <v>3</v>
      </c>
      <c r="E684">
        <v>8</v>
      </c>
      <c r="F684">
        <v>54</v>
      </c>
      <c r="G684" s="2" t="s">
        <v>68</v>
      </c>
      <c r="H684" s="2" t="s">
        <v>69</v>
      </c>
      <c r="I684" s="2" t="s">
        <v>19</v>
      </c>
      <c r="J684" s="2" t="s">
        <v>20</v>
      </c>
      <c r="K684" s="2" t="s">
        <v>59</v>
      </c>
      <c r="L684">
        <v>4</v>
      </c>
      <c r="M684">
        <v>1338.23</v>
      </c>
      <c r="N684">
        <v>5352.92</v>
      </c>
      <c r="O684" t="s">
        <v>29</v>
      </c>
      <c r="P684" s="2" t="s">
        <v>43</v>
      </c>
      <c r="Q684" s="2" t="s">
        <v>24</v>
      </c>
    </row>
    <row r="685" spans="1:17" hidden="1" x14ac:dyDescent="0.3">
      <c r="A685">
        <v>202400605</v>
      </c>
      <c r="B685" s="1">
        <v>45502</v>
      </c>
      <c r="C685">
        <v>2024</v>
      </c>
      <c r="D685">
        <v>3</v>
      </c>
      <c r="E685">
        <v>7</v>
      </c>
      <c r="F685">
        <v>78</v>
      </c>
      <c r="G685" s="2" t="s">
        <v>131</v>
      </c>
      <c r="H685" s="2" t="s">
        <v>69</v>
      </c>
      <c r="I685" s="2" t="s">
        <v>19</v>
      </c>
      <c r="J685" s="2" t="s">
        <v>20</v>
      </c>
      <c r="K685" s="2" t="s">
        <v>28</v>
      </c>
      <c r="L685">
        <v>5</v>
      </c>
      <c r="M685">
        <v>833.37</v>
      </c>
      <c r="N685">
        <v>4166.8500000000004</v>
      </c>
      <c r="O685" t="s">
        <v>29</v>
      </c>
      <c r="P685" s="2" t="s">
        <v>30</v>
      </c>
      <c r="Q685" s="2" t="s">
        <v>24</v>
      </c>
    </row>
    <row r="686" spans="1:17" hidden="1" x14ac:dyDescent="0.3">
      <c r="A686">
        <v>202400090</v>
      </c>
      <c r="B686" s="1">
        <v>45602</v>
      </c>
      <c r="C686">
        <v>2024</v>
      </c>
      <c r="D686">
        <v>4</v>
      </c>
      <c r="E686">
        <v>11</v>
      </c>
      <c r="F686">
        <v>60</v>
      </c>
      <c r="G686" s="2" t="s">
        <v>101</v>
      </c>
      <c r="H686" s="2" t="s">
        <v>62</v>
      </c>
      <c r="I686" s="2" t="s">
        <v>54</v>
      </c>
      <c r="J686" s="2" t="s">
        <v>20</v>
      </c>
      <c r="K686" s="2" t="s">
        <v>47</v>
      </c>
      <c r="L686">
        <v>12</v>
      </c>
      <c r="M686">
        <v>1974.28</v>
      </c>
      <c r="N686">
        <v>23691.360000000001</v>
      </c>
      <c r="O686" t="s">
        <v>22</v>
      </c>
      <c r="P686" s="2" t="s">
        <v>43</v>
      </c>
      <c r="Q686" s="2" t="s">
        <v>24</v>
      </c>
    </row>
    <row r="687" spans="1:17" hidden="1" x14ac:dyDescent="0.3">
      <c r="A687">
        <v>202401160</v>
      </c>
      <c r="B687" s="1">
        <v>45439</v>
      </c>
      <c r="C687">
        <v>2024</v>
      </c>
      <c r="D687">
        <v>2</v>
      </c>
      <c r="E687">
        <v>5</v>
      </c>
      <c r="F687">
        <v>66</v>
      </c>
      <c r="G687" s="2" t="s">
        <v>107</v>
      </c>
      <c r="H687" s="2" t="s">
        <v>69</v>
      </c>
      <c r="I687" s="2" t="s">
        <v>78</v>
      </c>
      <c r="J687" s="2" t="s">
        <v>75</v>
      </c>
      <c r="K687" s="2" t="s">
        <v>50</v>
      </c>
      <c r="L687">
        <v>11</v>
      </c>
      <c r="M687">
        <v>951.93</v>
      </c>
      <c r="N687">
        <v>10471.23</v>
      </c>
      <c r="O687" t="s">
        <v>22</v>
      </c>
      <c r="P687" s="2" t="s">
        <v>30</v>
      </c>
      <c r="Q687" s="2" t="s">
        <v>24</v>
      </c>
    </row>
    <row r="688" spans="1:17" hidden="1" x14ac:dyDescent="0.3">
      <c r="A688">
        <v>202400499</v>
      </c>
      <c r="B688" s="1">
        <v>45465</v>
      </c>
      <c r="C688">
        <v>2024</v>
      </c>
      <c r="D688">
        <v>2</v>
      </c>
      <c r="E688">
        <v>6</v>
      </c>
      <c r="F688">
        <v>21</v>
      </c>
      <c r="G688" s="2" t="s">
        <v>53</v>
      </c>
      <c r="H688" s="2" t="s">
        <v>26</v>
      </c>
      <c r="I688" s="2" t="s">
        <v>78</v>
      </c>
      <c r="J688" s="2" t="s">
        <v>75</v>
      </c>
      <c r="K688" s="2" t="s">
        <v>71</v>
      </c>
      <c r="L688">
        <v>12</v>
      </c>
      <c r="M688">
        <v>1937.64</v>
      </c>
      <c r="N688">
        <v>23251.68</v>
      </c>
      <c r="O688" t="s">
        <v>22</v>
      </c>
      <c r="P688" s="2" t="s">
        <v>48</v>
      </c>
      <c r="Q688" s="2" t="s">
        <v>31</v>
      </c>
    </row>
    <row r="689" spans="1:17" x14ac:dyDescent="0.3">
      <c r="A689">
        <v>202400967</v>
      </c>
      <c r="B689" s="1">
        <v>45335</v>
      </c>
      <c r="C689">
        <v>2024</v>
      </c>
      <c r="D689">
        <v>1</v>
      </c>
      <c r="E689">
        <v>2</v>
      </c>
      <c r="F689">
        <v>54</v>
      </c>
      <c r="G689" s="2" t="s">
        <v>68</v>
      </c>
      <c r="H689" s="2" t="s">
        <v>69</v>
      </c>
      <c r="I689" s="2" t="s">
        <v>19</v>
      </c>
      <c r="J689" s="2" t="s">
        <v>20</v>
      </c>
      <c r="K689" s="2" t="s">
        <v>35</v>
      </c>
      <c r="L689">
        <v>10</v>
      </c>
      <c r="M689">
        <v>996.23</v>
      </c>
      <c r="N689">
        <v>9962.2999999999993</v>
      </c>
      <c r="O689" t="s">
        <v>22</v>
      </c>
      <c r="P689" s="2" t="s">
        <v>43</v>
      </c>
      <c r="Q689" s="2" t="s">
        <v>40</v>
      </c>
    </row>
    <row r="690" spans="1:17" hidden="1" x14ac:dyDescent="0.3">
      <c r="A690">
        <v>202400903</v>
      </c>
      <c r="B690" s="1">
        <v>45405</v>
      </c>
      <c r="C690">
        <v>2024</v>
      </c>
      <c r="D690">
        <v>2</v>
      </c>
      <c r="E690">
        <v>4</v>
      </c>
      <c r="F690">
        <v>60</v>
      </c>
      <c r="G690" s="2" t="s">
        <v>101</v>
      </c>
      <c r="H690" s="2" t="s">
        <v>62</v>
      </c>
      <c r="I690" s="2" t="s">
        <v>54</v>
      </c>
      <c r="J690" s="2" t="s">
        <v>20</v>
      </c>
      <c r="K690" s="2" t="s">
        <v>42</v>
      </c>
      <c r="L690">
        <v>6</v>
      </c>
      <c r="M690">
        <v>704.2</v>
      </c>
      <c r="N690">
        <v>4225.2000000000007</v>
      </c>
      <c r="O690" t="s">
        <v>29</v>
      </c>
      <c r="P690" s="2" t="s">
        <v>30</v>
      </c>
      <c r="Q690" s="2" t="s">
        <v>24</v>
      </c>
    </row>
    <row r="691" spans="1:17" hidden="1" x14ac:dyDescent="0.3">
      <c r="A691">
        <v>202400901</v>
      </c>
      <c r="B691" s="1">
        <v>45530</v>
      </c>
      <c r="C691">
        <v>2024</v>
      </c>
      <c r="D691">
        <v>3</v>
      </c>
      <c r="E691">
        <v>8</v>
      </c>
      <c r="F691">
        <v>39</v>
      </c>
      <c r="G691" s="2" t="s">
        <v>98</v>
      </c>
      <c r="H691" s="2" t="s">
        <v>18</v>
      </c>
      <c r="I691" s="2" t="s">
        <v>19</v>
      </c>
      <c r="J691" s="2" t="s">
        <v>20</v>
      </c>
      <c r="K691" s="2" t="s">
        <v>51</v>
      </c>
      <c r="L691">
        <v>12</v>
      </c>
      <c r="M691">
        <v>1320.05</v>
      </c>
      <c r="N691">
        <v>15840.599999999999</v>
      </c>
      <c r="O691" t="s">
        <v>22</v>
      </c>
      <c r="P691" s="2" t="s">
        <v>30</v>
      </c>
      <c r="Q691" s="2" t="s">
        <v>24</v>
      </c>
    </row>
    <row r="692" spans="1:17" hidden="1" x14ac:dyDescent="0.3">
      <c r="A692">
        <v>202400012</v>
      </c>
      <c r="B692" s="1">
        <v>45470</v>
      </c>
      <c r="C692">
        <v>2024</v>
      </c>
      <c r="D692">
        <v>2</v>
      </c>
      <c r="E692">
        <v>6</v>
      </c>
      <c r="F692">
        <v>5</v>
      </c>
      <c r="G692" s="2" t="s">
        <v>121</v>
      </c>
      <c r="H692" s="2" t="s">
        <v>62</v>
      </c>
      <c r="I692" s="2" t="s">
        <v>27</v>
      </c>
      <c r="J692" s="2" t="s">
        <v>20</v>
      </c>
      <c r="K692" s="2" t="s">
        <v>70</v>
      </c>
      <c r="L692">
        <v>12</v>
      </c>
      <c r="M692">
        <v>607.32000000000005</v>
      </c>
      <c r="N692">
        <v>7287.84</v>
      </c>
      <c r="O692" t="s">
        <v>22</v>
      </c>
      <c r="P692" s="2" t="s">
        <v>30</v>
      </c>
      <c r="Q692" s="2" t="s">
        <v>24</v>
      </c>
    </row>
    <row r="693" spans="1:17" hidden="1" x14ac:dyDescent="0.3">
      <c r="A693">
        <v>202400397</v>
      </c>
      <c r="B693" s="1">
        <v>45566</v>
      </c>
      <c r="C693">
        <v>2024</v>
      </c>
      <c r="D693">
        <v>4</v>
      </c>
      <c r="E693">
        <v>10</v>
      </c>
      <c r="F693">
        <v>3</v>
      </c>
      <c r="G693" s="2" t="s">
        <v>44</v>
      </c>
      <c r="H693" s="2" t="s">
        <v>26</v>
      </c>
      <c r="I693" s="2" t="s">
        <v>38</v>
      </c>
      <c r="J693" s="2" t="s">
        <v>20</v>
      </c>
      <c r="K693" s="2" t="s">
        <v>97</v>
      </c>
      <c r="L693">
        <v>7</v>
      </c>
      <c r="M693">
        <v>1565.16</v>
      </c>
      <c r="N693">
        <v>10956.12</v>
      </c>
      <c r="O693" t="s">
        <v>29</v>
      </c>
      <c r="P693" s="2" t="s">
        <v>30</v>
      </c>
      <c r="Q693" s="2" t="s">
        <v>31</v>
      </c>
    </row>
    <row r="694" spans="1:17" x14ac:dyDescent="0.3">
      <c r="A694">
        <v>202400772</v>
      </c>
      <c r="B694" s="1">
        <v>45361</v>
      </c>
      <c r="C694">
        <v>2024</v>
      </c>
      <c r="D694">
        <v>1</v>
      </c>
      <c r="E694">
        <v>3</v>
      </c>
      <c r="F694">
        <v>12</v>
      </c>
      <c r="G694" s="2" t="s">
        <v>119</v>
      </c>
      <c r="H694" s="2" t="s">
        <v>26</v>
      </c>
      <c r="I694" s="2" t="s">
        <v>67</v>
      </c>
      <c r="J694" s="2" t="s">
        <v>20</v>
      </c>
      <c r="K694" s="2" t="s">
        <v>71</v>
      </c>
      <c r="L694">
        <v>2</v>
      </c>
      <c r="M694">
        <v>1395.15</v>
      </c>
      <c r="N694">
        <v>2790.3</v>
      </c>
      <c r="O694" t="s">
        <v>36</v>
      </c>
      <c r="P694" s="2" t="s">
        <v>30</v>
      </c>
      <c r="Q694" s="2" t="s">
        <v>24</v>
      </c>
    </row>
    <row r="695" spans="1:17" hidden="1" x14ac:dyDescent="0.3">
      <c r="A695">
        <v>202400556</v>
      </c>
      <c r="B695" s="1">
        <v>45447</v>
      </c>
      <c r="C695">
        <v>2024</v>
      </c>
      <c r="D695">
        <v>2</v>
      </c>
      <c r="E695">
        <v>6</v>
      </c>
      <c r="F695">
        <v>45</v>
      </c>
      <c r="G695" s="2" t="s">
        <v>103</v>
      </c>
      <c r="H695" s="2" t="s">
        <v>26</v>
      </c>
      <c r="I695" s="2" t="s">
        <v>56</v>
      </c>
      <c r="J695" s="2" t="s">
        <v>57</v>
      </c>
      <c r="K695" s="2" t="s">
        <v>60</v>
      </c>
      <c r="L695">
        <v>4</v>
      </c>
      <c r="M695">
        <v>620.92999999999995</v>
      </c>
      <c r="N695">
        <v>2483.7199999999998</v>
      </c>
      <c r="O695" t="s">
        <v>29</v>
      </c>
      <c r="P695" s="2" t="s">
        <v>30</v>
      </c>
      <c r="Q695" s="2" t="s">
        <v>41</v>
      </c>
    </row>
    <row r="696" spans="1:17" x14ac:dyDescent="0.3">
      <c r="A696">
        <v>202400043</v>
      </c>
      <c r="B696" s="1">
        <v>45338</v>
      </c>
      <c r="C696">
        <v>2024</v>
      </c>
      <c r="D696">
        <v>1</v>
      </c>
      <c r="E696">
        <v>2</v>
      </c>
      <c r="F696">
        <v>65</v>
      </c>
      <c r="G696" s="2" t="s">
        <v>112</v>
      </c>
      <c r="H696" s="2" t="s">
        <v>69</v>
      </c>
      <c r="I696" s="2" t="s">
        <v>19</v>
      </c>
      <c r="J696" s="2" t="s">
        <v>20</v>
      </c>
      <c r="K696" s="2" t="s">
        <v>71</v>
      </c>
      <c r="L696">
        <v>11</v>
      </c>
      <c r="M696">
        <v>1564.73</v>
      </c>
      <c r="N696">
        <v>17212.03</v>
      </c>
      <c r="O696" t="s">
        <v>22</v>
      </c>
      <c r="P696" s="2" t="s">
        <v>43</v>
      </c>
      <c r="Q696" s="2" t="s">
        <v>24</v>
      </c>
    </row>
    <row r="697" spans="1:17" hidden="1" x14ac:dyDescent="0.3">
      <c r="A697">
        <v>202400168</v>
      </c>
      <c r="B697" s="1">
        <v>45636</v>
      </c>
      <c r="C697">
        <v>2024</v>
      </c>
      <c r="D697">
        <v>4</v>
      </c>
      <c r="E697">
        <v>12</v>
      </c>
      <c r="F697">
        <v>80</v>
      </c>
      <c r="G697" s="2" t="s">
        <v>76</v>
      </c>
      <c r="H697" s="2" t="s">
        <v>26</v>
      </c>
      <c r="I697" s="2" t="s">
        <v>54</v>
      </c>
      <c r="J697" s="2" t="s">
        <v>20</v>
      </c>
      <c r="K697" s="2" t="s">
        <v>51</v>
      </c>
      <c r="L697">
        <v>3</v>
      </c>
      <c r="M697">
        <v>423.78</v>
      </c>
      <c r="N697">
        <v>1271.3399999999999</v>
      </c>
      <c r="O697" t="s">
        <v>29</v>
      </c>
      <c r="P697" s="2" t="s">
        <v>30</v>
      </c>
      <c r="Q697" s="2" t="s">
        <v>41</v>
      </c>
    </row>
    <row r="698" spans="1:17" hidden="1" x14ac:dyDescent="0.3">
      <c r="A698">
        <v>202400417</v>
      </c>
      <c r="B698" s="1">
        <v>45629</v>
      </c>
      <c r="C698">
        <v>2024</v>
      </c>
      <c r="D698">
        <v>4</v>
      </c>
      <c r="E698">
        <v>12</v>
      </c>
      <c r="F698">
        <v>66</v>
      </c>
      <c r="G698" s="2" t="s">
        <v>107</v>
      </c>
      <c r="H698" s="2" t="s">
        <v>69</v>
      </c>
      <c r="I698" s="2" t="s">
        <v>78</v>
      </c>
      <c r="J698" s="2" t="s">
        <v>75</v>
      </c>
      <c r="K698" s="2" t="s">
        <v>51</v>
      </c>
      <c r="L698">
        <v>14</v>
      </c>
      <c r="M698">
        <v>1186.82</v>
      </c>
      <c r="N698">
        <v>16615.48</v>
      </c>
      <c r="O698" t="s">
        <v>22</v>
      </c>
      <c r="P698" s="2" t="s">
        <v>48</v>
      </c>
      <c r="Q698" s="2" t="s">
        <v>24</v>
      </c>
    </row>
    <row r="699" spans="1:17" hidden="1" x14ac:dyDescent="0.3">
      <c r="A699">
        <v>202400577</v>
      </c>
      <c r="B699" s="1">
        <v>45609</v>
      </c>
      <c r="C699">
        <v>2024</v>
      </c>
      <c r="D699">
        <v>4</v>
      </c>
      <c r="E699">
        <v>11</v>
      </c>
      <c r="F699">
        <v>30</v>
      </c>
      <c r="G699" s="2" t="s">
        <v>91</v>
      </c>
      <c r="H699" s="2" t="s">
        <v>69</v>
      </c>
      <c r="I699" s="2" t="s">
        <v>65</v>
      </c>
      <c r="J699" s="2" t="s">
        <v>34</v>
      </c>
      <c r="K699" s="2" t="s">
        <v>42</v>
      </c>
      <c r="L699">
        <v>11</v>
      </c>
      <c r="M699">
        <v>1125.24</v>
      </c>
      <c r="N699">
        <v>12377.64</v>
      </c>
      <c r="O699" t="s">
        <v>22</v>
      </c>
      <c r="P699" s="2" t="s">
        <v>43</v>
      </c>
      <c r="Q699" s="2" t="s">
        <v>31</v>
      </c>
    </row>
    <row r="700" spans="1:17" hidden="1" x14ac:dyDescent="0.3">
      <c r="A700">
        <v>202400268</v>
      </c>
      <c r="B700" s="1">
        <v>45388</v>
      </c>
      <c r="C700">
        <v>2024</v>
      </c>
      <c r="D700">
        <v>2</v>
      </c>
      <c r="E700">
        <v>4</v>
      </c>
      <c r="F700">
        <v>22</v>
      </c>
      <c r="G700" s="2" t="s">
        <v>79</v>
      </c>
      <c r="H700" s="2" t="s">
        <v>18</v>
      </c>
      <c r="I700" s="2" t="s">
        <v>65</v>
      </c>
      <c r="J700" s="2" t="s">
        <v>34</v>
      </c>
      <c r="K700" s="2" t="s">
        <v>59</v>
      </c>
      <c r="L700">
        <v>9</v>
      </c>
      <c r="M700">
        <v>160.38999999999999</v>
      </c>
      <c r="N700">
        <v>1443.5099999999998</v>
      </c>
      <c r="O700" t="s">
        <v>29</v>
      </c>
      <c r="P700" s="2" t="s">
        <v>43</v>
      </c>
      <c r="Q700" s="2" t="s">
        <v>31</v>
      </c>
    </row>
    <row r="701" spans="1:17" x14ac:dyDescent="0.3">
      <c r="A701">
        <v>202400826</v>
      </c>
      <c r="B701" s="1">
        <v>45353</v>
      </c>
      <c r="C701">
        <v>2024</v>
      </c>
      <c r="D701">
        <v>1</v>
      </c>
      <c r="E701">
        <v>3</v>
      </c>
      <c r="F701">
        <v>72</v>
      </c>
      <c r="G701" s="2" t="s">
        <v>100</v>
      </c>
      <c r="H701" s="2" t="s">
        <v>140</v>
      </c>
      <c r="I701" s="2" t="s">
        <v>33</v>
      </c>
      <c r="J701" s="2" t="s">
        <v>34</v>
      </c>
      <c r="K701" s="2" t="s">
        <v>52</v>
      </c>
      <c r="L701">
        <v>11</v>
      </c>
      <c r="M701">
        <v>396.87</v>
      </c>
      <c r="N701">
        <v>4365.57</v>
      </c>
      <c r="O701" t="s">
        <v>22</v>
      </c>
      <c r="P701" s="2" t="s">
        <v>30</v>
      </c>
      <c r="Q701" s="2" t="s">
        <v>24</v>
      </c>
    </row>
    <row r="702" spans="1:17" hidden="1" x14ac:dyDescent="0.3">
      <c r="A702">
        <v>202400427</v>
      </c>
      <c r="B702" s="1">
        <v>45599</v>
      </c>
      <c r="C702">
        <v>2024</v>
      </c>
      <c r="D702">
        <v>4</v>
      </c>
      <c r="E702">
        <v>11</v>
      </c>
      <c r="F702">
        <v>6</v>
      </c>
      <c r="G702" s="2" t="s">
        <v>55</v>
      </c>
      <c r="H702" s="2" t="s">
        <v>26</v>
      </c>
      <c r="I702" s="2" t="s">
        <v>56</v>
      </c>
      <c r="J702" s="2" t="s">
        <v>57</v>
      </c>
      <c r="K702" s="2" t="s">
        <v>60</v>
      </c>
      <c r="L702">
        <v>9</v>
      </c>
      <c r="M702">
        <v>950.02</v>
      </c>
      <c r="N702">
        <v>8550.18</v>
      </c>
      <c r="O702" t="s">
        <v>29</v>
      </c>
      <c r="P702" s="2" t="s">
        <v>23</v>
      </c>
      <c r="Q702" s="2" t="s">
        <v>40</v>
      </c>
    </row>
    <row r="703" spans="1:17" hidden="1" x14ac:dyDescent="0.3">
      <c r="A703">
        <v>202400691</v>
      </c>
      <c r="B703" s="1">
        <v>45600</v>
      </c>
      <c r="C703">
        <v>2024</v>
      </c>
      <c r="D703">
        <v>4</v>
      </c>
      <c r="E703">
        <v>11</v>
      </c>
      <c r="F703">
        <v>48</v>
      </c>
      <c r="G703" s="2" t="s">
        <v>82</v>
      </c>
      <c r="H703" s="2" t="s">
        <v>140</v>
      </c>
      <c r="I703" s="2" t="s">
        <v>78</v>
      </c>
      <c r="J703" s="2" t="s">
        <v>75</v>
      </c>
      <c r="K703" s="2" t="s">
        <v>35</v>
      </c>
      <c r="L703">
        <v>2</v>
      </c>
      <c r="M703">
        <v>1400.17</v>
      </c>
      <c r="N703">
        <v>2800.34</v>
      </c>
      <c r="O703" t="s">
        <v>36</v>
      </c>
      <c r="P703" s="2" t="s">
        <v>48</v>
      </c>
      <c r="Q703" s="2" t="s">
        <v>24</v>
      </c>
    </row>
    <row r="704" spans="1:17" hidden="1" x14ac:dyDescent="0.3">
      <c r="A704">
        <v>202400545</v>
      </c>
      <c r="B704" s="1">
        <v>45451</v>
      </c>
      <c r="C704">
        <v>2024</v>
      </c>
      <c r="D704">
        <v>2</v>
      </c>
      <c r="E704">
        <v>6</v>
      </c>
      <c r="F704">
        <v>35</v>
      </c>
      <c r="G704" s="2" t="s">
        <v>99</v>
      </c>
      <c r="H704" s="2" t="s">
        <v>140</v>
      </c>
      <c r="I704" s="2" t="s">
        <v>27</v>
      </c>
      <c r="J704" s="2" t="s">
        <v>20</v>
      </c>
      <c r="K704" s="2" t="s">
        <v>52</v>
      </c>
      <c r="L704">
        <v>14</v>
      </c>
      <c r="M704">
        <v>1326.81</v>
      </c>
      <c r="N704">
        <v>18575.34</v>
      </c>
      <c r="O704" t="s">
        <v>22</v>
      </c>
      <c r="P704" s="2" t="s">
        <v>30</v>
      </c>
      <c r="Q704" s="2" t="s">
        <v>24</v>
      </c>
    </row>
    <row r="705" spans="1:17" hidden="1" x14ac:dyDescent="0.3">
      <c r="A705">
        <v>202401134</v>
      </c>
      <c r="B705" s="1">
        <v>45655</v>
      </c>
      <c r="C705">
        <v>2024</v>
      </c>
      <c r="D705">
        <v>4</v>
      </c>
      <c r="E705">
        <v>12</v>
      </c>
      <c r="F705">
        <v>4</v>
      </c>
      <c r="G705" s="2" t="s">
        <v>110</v>
      </c>
      <c r="H705" s="2" t="s">
        <v>69</v>
      </c>
      <c r="I705" s="2" t="s">
        <v>78</v>
      </c>
      <c r="J705" s="2" t="s">
        <v>75</v>
      </c>
      <c r="K705" s="2" t="s">
        <v>58</v>
      </c>
      <c r="L705">
        <v>7</v>
      </c>
      <c r="M705">
        <v>1603.24</v>
      </c>
      <c r="N705">
        <v>11222.68</v>
      </c>
      <c r="O705" t="s">
        <v>29</v>
      </c>
      <c r="P705" s="2" t="s">
        <v>30</v>
      </c>
      <c r="Q705" s="2" t="s">
        <v>24</v>
      </c>
    </row>
    <row r="706" spans="1:17" hidden="1" x14ac:dyDescent="0.3">
      <c r="A706">
        <v>202400675</v>
      </c>
      <c r="B706" s="1">
        <v>45535</v>
      </c>
      <c r="C706">
        <v>2024</v>
      </c>
      <c r="D706">
        <v>3</v>
      </c>
      <c r="E706">
        <v>8</v>
      </c>
      <c r="F706">
        <v>62</v>
      </c>
      <c r="G706" s="2" t="s">
        <v>118</v>
      </c>
      <c r="H706" s="2" t="s">
        <v>18</v>
      </c>
      <c r="I706" s="2" t="s">
        <v>54</v>
      </c>
      <c r="J706" s="2" t="s">
        <v>20</v>
      </c>
      <c r="K706" s="2" t="s">
        <v>97</v>
      </c>
      <c r="L706">
        <v>14</v>
      </c>
      <c r="M706">
        <v>1057.01</v>
      </c>
      <c r="N706">
        <v>14798.14</v>
      </c>
      <c r="O706" t="s">
        <v>22</v>
      </c>
      <c r="P706" s="2" t="s">
        <v>43</v>
      </c>
      <c r="Q706" s="2" t="s">
        <v>41</v>
      </c>
    </row>
    <row r="707" spans="1:17" hidden="1" x14ac:dyDescent="0.3">
      <c r="A707">
        <v>202400690</v>
      </c>
      <c r="B707" s="1">
        <v>45571</v>
      </c>
      <c r="C707">
        <v>2024</v>
      </c>
      <c r="D707">
        <v>4</v>
      </c>
      <c r="E707">
        <v>10</v>
      </c>
      <c r="F707">
        <v>60</v>
      </c>
      <c r="G707" s="2" t="s">
        <v>101</v>
      </c>
      <c r="H707" s="2" t="s">
        <v>62</v>
      </c>
      <c r="I707" s="2" t="s">
        <v>54</v>
      </c>
      <c r="J707" s="2" t="s">
        <v>20</v>
      </c>
      <c r="K707" s="2" t="s">
        <v>35</v>
      </c>
      <c r="L707">
        <v>8</v>
      </c>
      <c r="M707">
        <v>868.63</v>
      </c>
      <c r="N707">
        <v>6949.04</v>
      </c>
      <c r="O707" t="s">
        <v>29</v>
      </c>
      <c r="P707" s="2" t="s">
        <v>43</v>
      </c>
      <c r="Q707" s="2" t="s">
        <v>31</v>
      </c>
    </row>
    <row r="708" spans="1:17" x14ac:dyDescent="0.3">
      <c r="A708">
        <v>202401066</v>
      </c>
      <c r="B708" s="1">
        <v>45368</v>
      </c>
      <c r="C708">
        <v>2024</v>
      </c>
      <c r="D708">
        <v>1</v>
      </c>
      <c r="E708">
        <v>3</v>
      </c>
      <c r="F708">
        <v>52</v>
      </c>
      <c r="G708" s="2" t="s">
        <v>105</v>
      </c>
      <c r="H708" s="2" t="s">
        <v>62</v>
      </c>
      <c r="I708" s="2" t="s">
        <v>78</v>
      </c>
      <c r="J708" s="2" t="s">
        <v>75</v>
      </c>
      <c r="K708" s="2" t="s">
        <v>50</v>
      </c>
      <c r="L708">
        <v>9</v>
      </c>
      <c r="M708">
        <v>1812.68</v>
      </c>
      <c r="N708">
        <v>16314.12</v>
      </c>
      <c r="O708" t="s">
        <v>29</v>
      </c>
      <c r="P708" s="2" t="s">
        <v>23</v>
      </c>
      <c r="Q708" s="2" t="s">
        <v>40</v>
      </c>
    </row>
    <row r="709" spans="1:17" x14ac:dyDescent="0.3">
      <c r="A709">
        <v>202401188</v>
      </c>
      <c r="B709" s="1">
        <v>45315</v>
      </c>
      <c r="C709">
        <v>2024</v>
      </c>
      <c r="D709">
        <v>1</v>
      </c>
      <c r="E709">
        <v>1</v>
      </c>
      <c r="F709">
        <v>50</v>
      </c>
      <c r="G709" s="2" t="s">
        <v>37</v>
      </c>
      <c r="H709" s="2" t="s">
        <v>62</v>
      </c>
      <c r="I709" s="2" t="s">
        <v>38</v>
      </c>
      <c r="J709" s="2" t="s">
        <v>20</v>
      </c>
      <c r="K709" s="2" t="s">
        <v>51</v>
      </c>
      <c r="L709">
        <v>4</v>
      </c>
      <c r="M709">
        <v>90.59</v>
      </c>
      <c r="N709">
        <v>362.36</v>
      </c>
      <c r="O709" t="s">
        <v>29</v>
      </c>
      <c r="P709" s="2" t="s">
        <v>43</v>
      </c>
      <c r="Q709" s="2" t="s">
        <v>24</v>
      </c>
    </row>
    <row r="710" spans="1:17" x14ac:dyDescent="0.3">
      <c r="A710">
        <v>202401005</v>
      </c>
      <c r="B710" s="1">
        <v>45365</v>
      </c>
      <c r="C710">
        <v>2024</v>
      </c>
      <c r="D710">
        <v>1</v>
      </c>
      <c r="E710">
        <v>3</v>
      </c>
      <c r="F710">
        <v>32</v>
      </c>
      <c r="G710" s="2" t="s">
        <v>93</v>
      </c>
      <c r="H710" s="2" t="s">
        <v>26</v>
      </c>
      <c r="I710" s="2" t="s">
        <v>65</v>
      </c>
      <c r="J710" s="2" t="s">
        <v>34</v>
      </c>
      <c r="K710" s="2" t="s">
        <v>60</v>
      </c>
      <c r="L710">
        <v>7</v>
      </c>
      <c r="M710">
        <v>1812.01</v>
      </c>
      <c r="N710">
        <v>12684.07</v>
      </c>
      <c r="O710" t="s">
        <v>29</v>
      </c>
      <c r="P710" s="2" t="s">
        <v>30</v>
      </c>
      <c r="Q710" s="2" t="s">
        <v>24</v>
      </c>
    </row>
    <row r="711" spans="1:17" x14ac:dyDescent="0.3">
      <c r="A711">
        <v>202400904</v>
      </c>
      <c r="B711" s="1">
        <v>45378</v>
      </c>
      <c r="C711">
        <v>2024</v>
      </c>
      <c r="D711">
        <v>1</v>
      </c>
      <c r="E711">
        <v>3</v>
      </c>
      <c r="F711">
        <v>62</v>
      </c>
      <c r="G711" s="2" t="s">
        <v>118</v>
      </c>
      <c r="H711" s="2" t="s">
        <v>18</v>
      </c>
      <c r="I711" s="2" t="s">
        <v>54</v>
      </c>
      <c r="J711" s="2" t="s">
        <v>20</v>
      </c>
      <c r="K711" s="2" t="s">
        <v>52</v>
      </c>
      <c r="L711">
        <v>6</v>
      </c>
      <c r="M711">
        <v>1570.67</v>
      </c>
      <c r="N711">
        <v>9424.02</v>
      </c>
      <c r="O711" t="s">
        <v>29</v>
      </c>
      <c r="P711" s="2" t="s">
        <v>23</v>
      </c>
      <c r="Q711" s="2" t="s">
        <v>49</v>
      </c>
    </row>
    <row r="712" spans="1:17" hidden="1" x14ac:dyDescent="0.3">
      <c r="A712">
        <v>202400258</v>
      </c>
      <c r="B712" s="1">
        <v>45514</v>
      </c>
      <c r="C712">
        <v>2024</v>
      </c>
      <c r="D712">
        <v>3</v>
      </c>
      <c r="E712">
        <v>8</v>
      </c>
      <c r="F712">
        <v>58</v>
      </c>
      <c r="G712" s="2" t="s">
        <v>68</v>
      </c>
      <c r="H712" s="2" t="s">
        <v>69</v>
      </c>
      <c r="I712" s="2" t="s">
        <v>85</v>
      </c>
      <c r="J712" s="2" t="s">
        <v>57</v>
      </c>
      <c r="K712" s="2" t="s">
        <v>60</v>
      </c>
      <c r="L712">
        <v>5</v>
      </c>
      <c r="M712">
        <v>653.74</v>
      </c>
      <c r="N712">
        <v>3268.7</v>
      </c>
      <c r="O712" t="s">
        <v>29</v>
      </c>
      <c r="P712" s="2" t="s">
        <v>48</v>
      </c>
      <c r="Q712" s="2" t="s">
        <v>31</v>
      </c>
    </row>
    <row r="713" spans="1:17" hidden="1" x14ac:dyDescent="0.3">
      <c r="A713">
        <v>202400336</v>
      </c>
      <c r="B713" s="1">
        <v>45626</v>
      </c>
      <c r="C713">
        <v>2024</v>
      </c>
      <c r="D713">
        <v>4</v>
      </c>
      <c r="E713">
        <v>11</v>
      </c>
      <c r="F713">
        <v>47</v>
      </c>
      <c r="G713" s="2" t="s">
        <v>120</v>
      </c>
      <c r="H713" s="2" t="s">
        <v>140</v>
      </c>
      <c r="I713" s="2" t="s">
        <v>38</v>
      </c>
      <c r="J713" s="2" t="s">
        <v>20</v>
      </c>
      <c r="K713" s="2" t="s">
        <v>50</v>
      </c>
      <c r="L713">
        <v>11</v>
      </c>
      <c r="M713">
        <v>1396.48</v>
      </c>
      <c r="N713">
        <v>15361.28</v>
      </c>
      <c r="O713" t="s">
        <v>22</v>
      </c>
      <c r="P713" s="2" t="s">
        <v>30</v>
      </c>
      <c r="Q713" s="2" t="s">
        <v>24</v>
      </c>
    </row>
    <row r="714" spans="1:17" hidden="1" x14ac:dyDescent="0.3">
      <c r="A714">
        <v>202400016</v>
      </c>
      <c r="B714" s="1">
        <v>45492</v>
      </c>
      <c r="C714">
        <v>2024</v>
      </c>
      <c r="D714">
        <v>3</v>
      </c>
      <c r="E714">
        <v>7</v>
      </c>
      <c r="F714">
        <v>4</v>
      </c>
      <c r="G714" s="2" t="s">
        <v>110</v>
      </c>
      <c r="H714" s="2" t="s">
        <v>69</v>
      </c>
      <c r="I714" s="2" t="s">
        <v>78</v>
      </c>
      <c r="J714" s="2" t="s">
        <v>75</v>
      </c>
      <c r="K714" s="2" t="s">
        <v>28</v>
      </c>
      <c r="L714">
        <v>7</v>
      </c>
      <c r="M714">
        <v>837.08</v>
      </c>
      <c r="N714">
        <v>5859.56</v>
      </c>
      <c r="O714" t="s">
        <v>29</v>
      </c>
      <c r="P714" s="2" t="s">
        <v>23</v>
      </c>
      <c r="Q714" s="2" t="s">
        <v>24</v>
      </c>
    </row>
    <row r="715" spans="1:17" hidden="1" x14ac:dyDescent="0.3">
      <c r="A715">
        <v>202400923</v>
      </c>
      <c r="B715" s="1">
        <v>45514</v>
      </c>
      <c r="C715">
        <v>2024</v>
      </c>
      <c r="D715">
        <v>3</v>
      </c>
      <c r="E715">
        <v>8</v>
      </c>
      <c r="F715">
        <v>70</v>
      </c>
      <c r="G715" s="2" t="s">
        <v>94</v>
      </c>
      <c r="H715" s="2" t="s">
        <v>18</v>
      </c>
      <c r="I715" s="2" t="s">
        <v>78</v>
      </c>
      <c r="J715" s="2" t="s">
        <v>75</v>
      </c>
      <c r="K715" s="2" t="s">
        <v>47</v>
      </c>
      <c r="L715">
        <v>1</v>
      </c>
      <c r="M715">
        <v>112.62</v>
      </c>
      <c r="N715">
        <v>112.62</v>
      </c>
      <c r="O715" t="s">
        <v>36</v>
      </c>
      <c r="P715" s="2" t="s">
        <v>30</v>
      </c>
      <c r="Q715" s="2" t="s">
        <v>24</v>
      </c>
    </row>
    <row r="716" spans="1:17" hidden="1" x14ac:dyDescent="0.3">
      <c r="A716">
        <v>202400325</v>
      </c>
      <c r="B716" s="1">
        <v>45535</v>
      </c>
      <c r="C716">
        <v>2024</v>
      </c>
      <c r="D716">
        <v>3</v>
      </c>
      <c r="E716">
        <v>8</v>
      </c>
      <c r="F716">
        <v>59</v>
      </c>
      <c r="G716" s="2" t="s">
        <v>73</v>
      </c>
      <c r="H716" s="2" t="s">
        <v>62</v>
      </c>
      <c r="I716" s="2" t="s">
        <v>74</v>
      </c>
      <c r="J716" s="2" t="s">
        <v>75</v>
      </c>
      <c r="K716" s="2" t="s">
        <v>47</v>
      </c>
      <c r="L716">
        <v>3</v>
      </c>
      <c r="M716">
        <v>130.37</v>
      </c>
      <c r="N716">
        <v>391.11</v>
      </c>
      <c r="O716" t="s">
        <v>29</v>
      </c>
      <c r="P716" s="2" t="s">
        <v>43</v>
      </c>
      <c r="Q716" s="2" t="s">
        <v>40</v>
      </c>
    </row>
    <row r="717" spans="1:17" hidden="1" x14ac:dyDescent="0.3">
      <c r="A717">
        <v>202400608</v>
      </c>
      <c r="B717" s="1">
        <v>45502</v>
      </c>
      <c r="C717">
        <v>2024</v>
      </c>
      <c r="D717">
        <v>3</v>
      </c>
      <c r="E717">
        <v>7</v>
      </c>
      <c r="F717">
        <v>8</v>
      </c>
      <c r="G717" s="2" t="s">
        <v>63</v>
      </c>
      <c r="H717" s="2" t="s">
        <v>26</v>
      </c>
      <c r="I717" s="2" t="s">
        <v>54</v>
      </c>
      <c r="J717" s="2" t="s">
        <v>20</v>
      </c>
      <c r="K717" s="2" t="s">
        <v>42</v>
      </c>
      <c r="L717">
        <v>11</v>
      </c>
      <c r="M717">
        <v>1257.01</v>
      </c>
      <c r="N717">
        <v>13827.11</v>
      </c>
      <c r="O717" t="s">
        <v>22</v>
      </c>
      <c r="P717" s="2" t="s">
        <v>43</v>
      </c>
      <c r="Q717" s="2" t="s">
        <v>24</v>
      </c>
    </row>
    <row r="718" spans="1:17" hidden="1" x14ac:dyDescent="0.3">
      <c r="A718">
        <v>202400809</v>
      </c>
      <c r="B718" s="1">
        <v>45528</v>
      </c>
      <c r="C718">
        <v>2024</v>
      </c>
      <c r="D718">
        <v>3</v>
      </c>
      <c r="E718">
        <v>8</v>
      </c>
      <c r="F718">
        <v>21</v>
      </c>
      <c r="G718" s="2" t="s">
        <v>53</v>
      </c>
      <c r="H718" s="2" t="s">
        <v>26</v>
      </c>
      <c r="I718" s="2" t="s">
        <v>78</v>
      </c>
      <c r="J718" s="2" t="s">
        <v>75</v>
      </c>
      <c r="K718" s="2" t="s">
        <v>21</v>
      </c>
      <c r="L718">
        <v>10</v>
      </c>
      <c r="M718">
        <v>639.11</v>
      </c>
      <c r="N718">
        <v>6391.1</v>
      </c>
      <c r="O718" t="s">
        <v>22</v>
      </c>
      <c r="P718" s="2" t="s">
        <v>23</v>
      </c>
      <c r="Q718" s="2" t="s">
        <v>24</v>
      </c>
    </row>
    <row r="719" spans="1:17" hidden="1" x14ac:dyDescent="0.3">
      <c r="A719">
        <v>202400223</v>
      </c>
      <c r="B719" s="1">
        <v>45489</v>
      </c>
      <c r="C719">
        <v>2024</v>
      </c>
      <c r="D719">
        <v>3</v>
      </c>
      <c r="E719">
        <v>7</v>
      </c>
      <c r="F719">
        <v>80</v>
      </c>
      <c r="G719" s="2" t="s">
        <v>76</v>
      </c>
      <c r="H719" s="2" t="s">
        <v>26</v>
      </c>
      <c r="I719" s="2" t="s">
        <v>54</v>
      </c>
      <c r="J719" s="2" t="s">
        <v>20</v>
      </c>
      <c r="K719" s="2" t="s">
        <v>35</v>
      </c>
      <c r="L719">
        <v>3</v>
      </c>
      <c r="M719">
        <v>147.21</v>
      </c>
      <c r="N719">
        <v>441.63</v>
      </c>
      <c r="O719" t="s">
        <v>29</v>
      </c>
      <c r="P719" s="2" t="s">
        <v>43</v>
      </c>
      <c r="Q719" s="2" t="s">
        <v>40</v>
      </c>
    </row>
    <row r="720" spans="1:17" hidden="1" x14ac:dyDescent="0.3">
      <c r="A720">
        <v>202400180</v>
      </c>
      <c r="B720" s="1">
        <v>45398</v>
      </c>
      <c r="C720">
        <v>2024</v>
      </c>
      <c r="D720">
        <v>2</v>
      </c>
      <c r="E720">
        <v>4</v>
      </c>
      <c r="F720">
        <v>49</v>
      </c>
      <c r="G720" s="2" t="s">
        <v>83</v>
      </c>
      <c r="H720" s="2" t="s">
        <v>69</v>
      </c>
      <c r="I720" s="2" t="s">
        <v>56</v>
      </c>
      <c r="J720" s="2" t="s">
        <v>57</v>
      </c>
      <c r="K720" s="2" t="s">
        <v>39</v>
      </c>
      <c r="L720">
        <v>10</v>
      </c>
      <c r="M720">
        <v>1232.1099999999999</v>
      </c>
      <c r="N720">
        <v>12321.099999999999</v>
      </c>
      <c r="O720" t="s">
        <v>22</v>
      </c>
      <c r="P720" s="2" t="s">
        <v>43</v>
      </c>
      <c r="Q720" s="2" t="s">
        <v>24</v>
      </c>
    </row>
    <row r="721" spans="1:17" hidden="1" x14ac:dyDescent="0.3">
      <c r="A721">
        <v>202400100</v>
      </c>
      <c r="B721" s="1">
        <v>45390</v>
      </c>
      <c r="C721">
        <v>2024</v>
      </c>
      <c r="D721">
        <v>2</v>
      </c>
      <c r="E721">
        <v>4</v>
      </c>
      <c r="F721">
        <v>8</v>
      </c>
      <c r="G721" s="2" t="s">
        <v>63</v>
      </c>
      <c r="H721" s="2" t="s">
        <v>26</v>
      </c>
      <c r="I721" s="2" t="s">
        <v>54</v>
      </c>
      <c r="J721" s="2" t="s">
        <v>20</v>
      </c>
      <c r="K721" s="2" t="s">
        <v>28</v>
      </c>
      <c r="L721">
        <v>10</v>
      </c>
      <c r="M721">
        <v>1505.29</v>
      </c>
      <c r="N721">
        <v>15052.9</v>
      </c>
      <c r="O721" t="s">
        <v>22</v>
      </c>
      <c r="P721" s="2" t="s">
        <v>30</v>
      </c>
      <c r="Q721" s="2" t="s">
        <v>45</v>
      </c>
    </row>
    <row r="722" spans="1:17" hidden="1" x14ac:dyDescent="0.3">
      <c r="A722">
        <v>202400522</v>
      </c>
      <c r="B722" s="1">
        <v>45430</v>
      </c>
      <c r="C722">
        <v>2024</v>
      </c>
      <c r="D722">
        <v>2</v>
      </c>
      <c r="E722">
        <v>5</v>
      </c>
      <c r="F722">
        <v>3</v>
      </c>
      <c r="G722" s="2" t="s">
        <v>44</v>
      </c>
      <c r="H722" s="2" t="s">
        <v>26</v>
      </c>
      <c r="I722" s="2" t="s">
        <v>38</v>
      </c>
      <c r="J722" s="2" t="s">
        <v>20</v>
      </c>
      <c r="K722" s="2" t="s">
        <v>35</v>
      </c>
      <c r="L722">
        <v>9</v>
      </c>
      <c r="M722">
        <v>1398.51</v>
      </c>
      <c r="N722">
        <v>12586.59</v>
      </c>
      <c r="O722" t="s">
        <v>29</v>
      </c>
      <c r="P722" s="2" t="s">
        <v>30</v>
      </c>
      <c r="Q722" s="2" t="s">
        <v>41</v>
      </c>
    </row>
    <row r="723" spans="1:17" x14ac:dyDescent="0.3">
      <c r="A723">
        <v>202400023</v>
      </c>
      <c r="B723" s="1">
        <v>45331</v>
      </c>
      <c r="C723">
        <v>2024</v>
      </c>
      <c r="D723">
        <v>1</v>
      </c>
      <c r="E723">
        <v>2</v>
      </c>
      <c r="F723">
        <v>27</v>
      </c>
      <c r="G723" s="2" t="s">
        <v>83</v>
      </c>
      <c r="H723" s="2" t="s">
        <v>18</v>
      </c>
      <c r="I723" s="2" t="s">
        <v>74</v>
      </c>
      <c r="J723" s="2" t="s">
        <v>75</v>
      </c>
      <c r="K723" s="2" t="s">
        <v>70</v>
      </c>
      <c r="L723">
        <v>10</v>
      </c>
      <c r="M723">
        <v>856.48</v>
      </c>
      <c r="N723">
        <v>8564.7999999999993</v>
      </c>
      <c r="O723" t="s">
        <v>22</v>
      </c>
      <c r="P723" s="2" t="s">
        <v>30</v>
      </c>
      <c r="Q723" s="2" t="s">
        <v>24</v>
      </c>
    </row>
    <row r="724" spans="1:17" hidden="1" x14ac:dyDescent="0.3">
      <c r="A724">
        <v>202400357</v>
      </c>
      <c r="B724" s="1">
        <v>45473</v>
      </c>
      <c r="C724">
        <v>2024</v>
      </c>
      <c r="D724">
        <v>2</v>
      </c>
      <c r="E724">
        <v>6</v>
      </c>
      <c r="F724">
        <v>69</v>
      </c>
      <c r="G724" s="2" t="s">
        <v>98</v>
      </c>
      <c r="H724" s="2" t="s">
        <v>62</v>
      </c>
      <c r="I724" s="2" t="s">
        <v>67</v>
      </c>
      <c r="J724" s="2" t="s">
        <v>20</v>
      </c>
      <c r="K724" s="2" t="s">
        <v>59</v>
      </c>
      <c r="L724">
        <v>9</v>
      </c>
      <c r="M724">
        <v>1802.81</v>
      </c>
      <c r="N724">
        <v>16225.289999999999</v>
      </c>
      <c r="O724" t="s">
        <v>29</v>
      </c>
      <c r="P724" s="2" t="s">
        <v>43</v>
      </c>
      <c r="Q724" s="2" t="s">
        <v>40</v>
      </c>
    </row>
    <row r="725" spans="1:17" hidden="1" x14ac:dyDescent="0.3">
      <c r="A725">
        <v>202400734</v>
      </c>
      <c r="B725" s="1">
        <v>45648</v>
      </c>
      <c r="C725">
        <v>2024</v>
      </c>
      <c r="D725">
        <v>4</v>
      </c>
      <c r="E725">
        <v>12</v>
      </c>
      <c r="F725">
        <v>4</v>
      </c>
      <c r="G725" s="2" t="s">
        <v>110</v>
      </c>
      <c r="H725" s="2" t="s">
        <v>69</v>
      </c>
      <c r="I725" s="2" t="s">
        <v>78</v>
      </c>
      <c r="J725" s="2" t="s">
        <v>75</v>
      </c>
      <c r="K725" s="2" t="s">
        <v>59</v>
      </c>
      <c r="L725">
        <v>5</v>
      </c>
      <c r="M725">
        <v>1454.09</v>
      </c>
      <c r="N725">
        <v>7270.45</v>
      </c>
      <c r="O725" t="s">
        <v>29</v>
      </c>
      <c r="P725" s="2" t="s">
        <v>23</v>
      </c>
      <c r="Q725" s="2" t="s">
        <v>24</v>
      </c>
    </row>
    <row r="726" spans="1:17" hidden="1" x14ac:dyDescent="0.3">
      <c r="A726">
        <v>202400983</v>
      </c>
      <c r="B726" s="1">
        <v>45411</v>
      </c>
      <c r="C726">
        <v>2024</v>
      </c>
      <c r="D726">
        <v>2</v>
      </c>
      <c r="E726">
        <v>4</v>
      </c>
      <c r="F726">
        <v>1</v>
      </c>
      <c r="G726" s="2" t="s">
        <v>17</v>
      </c>
      <c r="H726" s="2" t="s">
        <v>26</v>
      </c>
      <c r="I726" s="2" t="s">
        <v>78</v>
      </c>
      <c r="J726" s="2" t="s">
        <v>75</v>
      </c>
      <c r="K726" s="2" t="s">
        <v>42</v>
      </c>
      <c r="L726">
        <v>14</v>
      </c>
      <c r="M726">
        <v>1263.53</v>
      </c>
      <c r="N726">
        <v>17689.419999999998</v>
      </c>
      <c r="O726" t="s">
        <v>22</v>
      </c>
      <c r="P726" s="2" t="s">
        <v>23</v>
      </c>
      <c r="Q726" s="2" t="s">
        <v>45</v>
      </c>
    </row>
    <row r="727" spans="1:17" hidden="1" x14ac:dyDescent="0.3">
      <c r="A727">
        <v>202401123</v>
      </c>
      <c r="B727" s="1">
        <v>45600</v>
      </c>
      <c r="C727">
        <v>2024</v>
      </c>
      <c r="D727">
        <v>4</v>
      </c>
      <c r="E727">
        <v>11</v>
      </c>
      <c r="F727">
        <v>52</v>
      </c>
      <c r="G727" s="2" t="s">
        <v>105</v>
      </c>
      <c r="H727" s="2" t="s">
        <v>62</v>
      </c>
      <c r="I727" s="2" t="s">
        <v>78</v>
      </c>
      <c r="J727" s="2" t="s">
        <v>75</v>
      </c>
      <c r="K727" s="2" t="s">
        <v>42</v>
      </c>
      <c r="L727">
        <v>7</v>
      </c>
      <c r="M727">
        <v>1795.01</v>
      </c>
      <c r="N727">
        <v>12565.07</v>
      </c>
      <c r="O727" t="s">
        <v>29</v>
      </c>
      <c r="P727" s="2" t="s">
        <v>23</v>
      </c>
      <c r="Q727" s="2" t="s">
        <v>24</v>
      </c>
    </row>
    <row r="728" spans="1:17" hidden="1" x14ac:dyDescent="0.3">
      <c r="A728">
        <v>202400612</v>
      </c>
      <c r="B728" s="1">
        <v>45587</v>
      </c>
      <c r="C728">
        <v>2024</v>
      </c>
      <c r="D728">
        <v>4</v>
      </c>
      <c r="E728">
        <v>10</v>
      </c>
      <c r="F728">
        <v>23</v>
      </c>
      <c r="G728" s="2" t="s">
        <v>86</v>
      </c>
      <c r="H728" s="2" t="s">
        <v>26</v>
      </c>
      <c r="I728" s="2" t="s">
        <v>33</v>
      </c>
      <c r="J728" s="2" t="s">
        <v>34</v>
      </c>
      <c r="K728" s="2" t="s">
        <v>60</v>
      </c>
      <c r="L728">
        <v>14</v>
      </c>
      <c r="M728">
        <v>1554.89</v>
      </c>
      <c r="N728">
        <v>21768.460000000003</v>
      </c>
      <c r="O728" t="s">
        <v>22</v>
      </c>
      <c r="P728" s="2" t="s">
        <v>43</v>
      </c>
      <c r="Q728" s="2" t="s">
        <v>24</v>
      </c>
    </row>
    <row r="729" spans="1:17" x14ac:dyDescent="0.3">
      <c r="A729">
        <v>202401030</v>
      </c>
      <c r="B729" s="1">
        <v>45347</v>
      </c>
      <c r="C729">
        <v>2024</v>
      </c>
      <c r="D729">
        <v>1</v>
      </c>
      <c r="E729">
        <v>2</v>
      </c>
      <c r="F729">
        <v>65</v>
      </c>
      <c r="G729" s="2" t="s">
        <v>112</v>
      </c>
      <c r="H729" s="2" t="s">
        <v>69</v>
      </c>
      <c r="I729" s="2" t="s">
        <v>19</v>
      </c>
      <c r="J729" s="2" t="s">
        <v>20</v>
      </c>
      <c r="K729" s="2" t="s">
        <v>97</v>
      </c>
      <c r="L729">
        <v>9</v>
      </c>
      <c r="M729">
        <v>1585.15</v>
      </c>
      <c r="N729">
        <v>14266.35</v>
      </c>
      <c r="O729" t="s">
        <v>29</v>
      </c>
      <c r="P729" s="2" t="s">
        <v>30</v>
      </c>
      <c r="Q729" s="2" t="s">
        <v>40</v>
      </c>
    </row>
    <row r="730" spans="1:17" x14ac:dyDescent="0.3">
      <c r="A730">
        <v>202400341</v>
      </c>
      <c r="B730" s="1">
        <v>45366</v>
      </c>
      <c r="C730">
        <v>2024</v>
      </c>
      <c r="D730">
        <v>1</v>
      </c>
      <c r="E730">
        <v>3</v>
      </c>
      <c r="F730">
        <v>80</v>
      </c>
      <c r="G730" s="2" t="s">
        <v>76</v>
      </c>
      <c r="H730" s="2" t="s">
        <v>26</v>
      </c>
      <c r="I730" s="2" t="s">
        <v>54</v>
      </c>
      <c r="J730" s="2" t="s">
        <v>20</v>
      </c>
      <c r="K730" s="2" t="s">
        <v>35</v>
      </c>
      <c r="L730">
        <v>11</v>
      </c>
      <c r="M730">
        <v>1151.06</v>
      </c>
      <c r="N730">
        <v>12661.66</v>
      </c>
      <c r="O730" t="s">
        <v>22</v>
      </c>
      <c r="P730" s="2" t="s">
        <v>48</v>
      </c>
      <c r="Q730" s="2" t="s">
        <v>24</v>
      </c>
    </row>
    <row r="731" spans="1:17" hidden="1" x14ac:dyDescent="0.3">
      <c r="A731">
        <v>202400432</v>
      </c>
      <c r="B731" s="1">
        <v>45591</v>
      </c>
      <c r="C731">
        <v>2024</v>
      </c>
      <c r="D731">
        <v>4</v>
      </c>
      <c r="E731">
        <v>10</v>
      </c>
      <c r="F731">
        <v>44</v>
      </c>
      <c r="G731" s="2" t="s">
        <v>129</v>
      </c>
      <c r="H731" s="2" t="s">
        <v>140</v>
      </c>
      <c r="I731" s="2" t="s">
        <v>27</v>
      </c>
      <c r="J731" s="2" t="s">
        <v>20</v>
      </c>
      <c r="K731" s="2" t="s">
        <v>21</v>
      </c>
      <c r="L731">
        <v>11</v>
      </c>
      <c r="M731">
        <v>647.92999999999995</v>
      </c>
      <c r="N731">
        <v>7127.23</v>
      </c>
      <c r="O731" t="s">
        <v>22</v>
      </c>
      <c r="P731" s="2" t="s">
        <v>30</v>
      </c>
      <c r="Q731" s="2" t="s">
        <v>31</v>
      </c>
    </row>
    <row r="732" spans="1:17" hidden="1" x14ac:dyDescent="0.3">
      <c r="A732">
        <v>202400963</v>
      </c>
      <c r="B732" s="1">
        <v>45389</v>
      </c>
      <c r="C732">
        <v>2024</v>
      </c>
      <c r="D732">
        <v>2</v>
      </c>
      <c r="E732">
        <v>4</v>
      </c>
      <c r="F732">
        <v>24</v>
      </c>
      <c r="G732" s="2" t="s">
        <v>17</v>
      </c>
      <c r="H732" s="2" t="s">
        <v>26</v>
      </c>
      <c r="I732" s="2" t="s">
        <v>56</v>
      </c>
      <c r="J732" s="2" t="s">
        <v>57</v>
      </c>
      <c r="K732" s="2" t="s">
        <v>51</v>
      </c>
      <c r="L732">
        <v>12</v>
      </c>
      <c r="M732">
        <v>725.27</v>
      </c>
      <c r="N732">
        <v>8703.24</v>
      </c>
      <c r="O732" t="s">
        <v>22</v>
      </c>
      <c r="P732" s="2" t="s">
        <v>30</v>
      </c>
      <c r="Q732" s="2" t="s">
        <v>24</v>
      </c>
    </row>
    <row r="733" spans="1:17" hidden="1" x14ac:dyDescent="0.3">
      <c r="A733">
        <v>202400218</v>
      </c>
      <c r="B733" s="1">
        <v>45612</v>
      </c>
      <c r="C733">
        <v>2024</v>
      </c>
      <c r="D733">
        <v>4</v>
      </c>
      <c r="E733">
        <v>11</v>
      </c>
      <c r="F733">
        <v>34</v>
      </c>
      <c r="G733" s="2" t="s">
        <v>95</v>
      </c>
      <c r="H733" s="2" t="s">
        <v>18</v>
      </c>
      <c r="I733" s="2" t="s">
        <v>54</v>
      </c>
      <c r="J733" s="2" t="s">
        <v>20</v>
      </c>
      <c r="K733" s="2" t="s">
        <v>59</v>
      </c>
      <c r="L733">
        <v>10</v>
      </c>
      <c r="M733">
        <v>1808.45</v>
      </c>
      <c r="N733">
        <v>18084.5</v>
      </c>
      <c r="O733" t="s">
        <v>22</v>
      </c>
      <c r="P733" s="2" t="s">
        <v>43</v>
      </c>
      <c r="Q733" s="2" t="s">
        <v>40</v>
      </c>
    </row>
    <row r="734" spans="1:17" hidden="1" x14ac:dyDescent="0.3">
      <c r="A734">
        <v>202400204</v>
      </c>
      <c r="B734" s="1">
        <v>45628</v>
      </c>
      <c r="C734">
        <v>2024</v>
      </c>
      <c r="D734">
        <v>4</v>
      </c>
      <c r="E734">
        <v>12</v>
      </c>
      <c r="F734">
        <v>58</v>
      </c>
      <c r="G734" s="2" t="s">
        <v>68</v>
      </c>
      <c r="H734" s="2" t="s">
        <v>69</v>
      </c>
      <c r="I734" s="2" t="s">
        <v>85</v>
      </c>
      <c r="J734" s="2" t="s">
        <v>57</v>
      </c>
      <c r="K734" s="2" t="s">
        <v>21</v>
      </c>
      <c r="L734">
        <v>14</v>
      </c>
      <c r="M734">
        <v>1171.8</v>
      </c>
      <c r="N734">
        <v>16405.2</v>
      </c>
      <c r="O734" t="s">
        <v>22</v>
      </c>
      <c r="P734" s="2" t="s">
        <v>43</v>
      </c>
      <c r="Q734" s="2" t="s">
        <v>24</v>
      </c>
    </row>
    <row r="735" spans="1:17" hidden="1" x14ac:dyDescent="0.3">
      <c r="A735">
        <v>202400927</v>
      </c>
      <c r="B735" s="1">
        <v>45618</v>
      </c>
      <c r="C735">
        <v>2024</v>
      </c>
      <c r="D735">
        <v>4</v>
      </c>
      <c r="E735">
        <v>11</v>
      </c>
      <c r="F735">
        <v>23</v>
      </c>
      <c r="G735" s="2" t="s">
        <v>86</v>
      </c>
      <c r="H735" s="2" t="s">
        <v>26</v>
      </c>
      <c r="I735" s="2" t="s">
        <v>33</v>
      </c>
      <c r="J735" s="2" t="s">
        <v>34</v>
      </c>
      <c r="K735" s="2" t="s">
        <v>35</v>
      </c>
      <c r="L735">
        <v>14</v>
      </c>
      <c r="M735">
        <v>858.34</v>
      </c>
      <c r="N735">
        <v>12016.76</v>
      </c>
      <c r="O735" t="s">
        <v>22</v>
      </c>
      <c r="P735" s="2" t="s">
        <v>43</v>
      </c>
      <c r="Q735" s="2" t="s">
        <v>24</v>
      </c>
    </row>
    <row r="736" spans="1:17" hidden="1" x14ac:dyDescent="0.3">
      <c r="A736">
        <v>202400944</v>
      </c>
      <c r="B736" s="1">
        <v>45405</v>
      </c>
      <c r="C736">
        <v>2024</v>
      </c>
      <c r="D736">
        <v>2</v>
      </c>
      <c r="E736">
        <v>4</v>
      </c>
      <c r="F736">
        <v>45</v>
      </c>
      <c r="G736" s="2" t="s">
        <v>103</v>
      </c>
      <c r="H736" s="2" t="s">
        <v>26</v>
      </c>
      <c r="I736" s="2" t="s">
        <v>56</v>
      </c>
      <c r="J736" s="2" t="s">
        <v>57</v>
      </c>
      <c r="K736" s="2" t="s">
        <v>21</v>
      </c>
      <c r="L736">
        <v>6</v>
      </c>
      <c r="M736">
        <v>1414.4</v>
      </c>
      <c r="N736">
        <v>8486.4000000000015</v>
      </c>
      <c r="O736" t="s">
        <v>29</v>
      </c>
      <c r="P736" s="2" t="s">
        <v>23</v>
      </c>
      <c r="Q736" s="2" t="s">
        <v>40</v>
      </c>
    </row>
    <row r="737" spans="1:17" hidden="1" x14ac:dyDescent="0.3">
      <c r="A737">
        <v>202400094</v>
      </c>
      <c r="B737" s="1">
        <v>45509</v>
      </c>
      <c r="C737">
        <v>2024</v>
      </c>
      <c r="D737">
        <v>3</v>
      </c>
      <c r="E737">
        <v>8</v>
      </c>
      <c r="F737">
        <v>4</v>
      </c>
      <c r="G737" s="2" t="s">
        <v>110</v>
      </c>
      <c r="H737" s="2" t="s">
        <v>69</v>
      </c>
      <c r="I737" s="2" t="s">
        <v>78</v>
      </c>
      <c r="J737" s="2" t="s">
        <v>75</v>
      </c>
      <c r="K737" s="2" t="s">
        <v>47</v>
      </c>
      <c r="L737">
        <v>6</v>
      </c>
      <c r="M737">
        <v>630.34</v>
      </c>
      <c r="N737">
        <v>3782.04</v>
      </c>
      <c r="O737" t="s">
        <v>29</v>
      </c>
      <c r="P737" s="2" t="s">
        <v>48</v>
      </c>
      <c r="Q737" s="2" t="s">
        <v>24</v>
      </c>
    </row>
    <row r="738" spans="1:17" hidden="1" x14ac:dyDescent="0.3">
      <c r="A738">
        <v>202400925</v>
      </c>
      <c r="B738" s="1">
        <v>45446</v>
      </c>
      <c r="C738">
        <v>2024</v>
      </c>
      <c r="D738">
        <v>2</v>
      </c>
      <c r="E738">
        <v>6</v>
      </c>
      <c r="F738">
        <v>60</v>
      </c>
      <c r="G738" s="2" t="s">
        <v>101</v>
      </c>
      <c r="H738" s="2" t="s">
        <v>62</v>
      </c>
      <c r="I738" s="2" t="s">
        <v>54</v>
      </c>
      <c r="J738" s="2" t="s">
        <v>20</v>
      </c>
      <c r="K738" s="2" t="s">
        <v>28</v>
      </c>
      <c r="L738">
        <v>7</v>
      </c>
      <c r="M738">
        <v>1739.83</v>
      </c>
      <c r="N738">
        <v>12178.81</v>
      </c>
      <c r="O738" t="s">
        <v>29</v>
      </c>
      <c r="P738" s="2" t="s">
        <v>43</v>
      </c>
      <c r="Q738" s="2" t="s">
        <v>24</v>
      </c>
    </row>
    <row r="739" spans="1:17" hidden="1" x14ac:dyDescent="0.3">
      <c r="A739">
        <v>202400069</v>
      </c>
      <c r="B739" s="1">
        <v>45606</v>
      </c>
      <c r="C739">
        <v>2024</v>
      </c>
      <c r="D739">
        <v>4</v>
      </c>
      <c r="E739">
        <v>11</v>
      </c>
      <c r="F739">
        <v>54</v>
      </c>
      <c r="G739" s="2" t="s">
        <v>68</v>
      </c>
      <c r="H739" s="2" t="s">
        <v>69</v>
      </c>
      <c r="I739" s="2" t="s">
        <v>19</v>
      </c>
      <c r="J739" s="2" t="s">
        <v>20</v>
      </c>
      <c r="K739" s="2" t="s">
        <v>71</v>
      </c>
      <c r="L739">
        <v>3</v>
      </c>
      <c r="M739">
        <v>702.01</v>
      </c>
      <c r="N739">
        <v>2106.0299999999997</v>
      </c>
      <c r="O739" t="s">
        <v>29</v>
      </c>
      <c r="P739" s="2" t="s">
        <v>43</v>
      </c>
      <c r="Q739" s="2" t="s">
        <v>24</v>
      </c>
    </row>
    <row r="740" spans="1:17" hidden="1" x14ac:dyDescent="0.3">
      <c r="A740">
        <v>202400285</v>
      </c>
      <c r="B740" s="1">
        <v>45448</v>
      </c>
      <c r="C740">
        <v>2024</v>
      </c>
      <c r="D740">
        <v>2</v>
      </c>
      <c r="E740">
        <v>6</v>
      </c>
      <c r="F740">
        <v>2</v>
      </c>
      <c r="G740" s="2" t="s">
        <v>32</v>
      </c>
      <c r="H740" s="2" t="s">
        <v>140</v>
      </c>
      <c r="I740" s="2" t="s">
        <v>33</v>
      </c>
      <c r="J740" s="2" t="s">
        <v>34</v>
      </c>
      <c r="K740" s="2" t="s">
        <v>28</v>
      </c>
      <c r="L740">
        <v>3</v>
      </c>
      <c r="M740">
        <v>1277.95</v>
      </c>
      <c r="N740">
        <v>3833.8500000000004</v>
      </c>
      <c r="O740" t="s">
        <v>29</v>
      </c>
      <c r="P740" s="2" t="s">
        <v>48</v>
      </c>
      <c r="Q740" s="2" t="s">
        <v>24</v>
      </c>
    </row>
    <row r="741" spans="1:17" hidden="1" x14ac:dyDescent="0.3">
      <c r="A741">
        <v>202400697</v>
      </c>
      <c r="B741" s="1">
        <v>45584</v>
      </c>
      <c r="C741">
        <v>2024</v>
      </c>
      <c r="D741">
        <v>4</v>
      </c>
      <c r="E741">
        <v>10</v>
      </c>
      <c r="F741">
        <v>76</v>
      </c>
      <c r="G741" s="2" t="s">
        <v>104</v>
      </c>
      <c r="H741" s="2" t="s">
        <v>140</v>
      </c>
      <c r="I741" s="2" t="s">
        <v>33</v>
      </c>
      <c r="J741" s="2" t="s">
        <v>34</v>
      </c>
      <c r="K741" s="2" t="s">
        <v>70</v>
      </c>
      <c r="L741">
        <v>13</v>
      </c>
      <c r="M741">
        <v>770.24</v>
      </c>
      <c r="N741">
        <v>10013.120000000001</v>
      </c>
      <c r="O741" t="s">
        <v>22</v>
      </c>
      <c r="P741" s="2" t="s">
        <v>43</v>
      </c>
      <c r="Q741" s="2" t="s">
        <v>31</v>
      </c>
    </row>
    <row r="742" spans="1:17" hidden="1" x14ac:dyDescent="0.3">
      <c r="A742">
        <v>202400086</v>
      </c>
      <c r="B742" s="1">
        <v>45589</v>
      </c>
      <c r="C742">
        <v>2024</v>
      </c>
      <c r="D742">
        <v>4</v>
      </c>
      <c r="E742">
        <v>10</v>
      </c>
      <c r="F742">
        <v>14</v>
      </c>
      <c r="G742" s="2" t="s">
        <v>106</v>
      </c>
      <c r="H742" s="2" t="s">
        <v>26</v>
      </c>
      <c r="I742" s="2" t="s">
        <v>54</v>
      </c>
      <c r="J742" s="2" t="s">
        <v>20</v>
      </c>
      <c r="K742" s="2" t="s">
        <v>47</v>
      </c>
      <c r="L742">
        <v>0</v>
      </c>
      <c r="M742">
        <v>695.32</v>
      </c>
      <c r="N742">
        <v>0</v>
      </c>
      <c r="O742" t="s">
        <v>36</v>
      </c>
      <c r="P742" s="2" t="s">
        <v>43</v>
      </c>
      <c r="Q742" s="2" t="s">
        <v>24</v>
      </c>
    </row>
    <row r="743" spans="1:17" x14ac:dyDescent="0.3">
      <c r="A743">
        <v>202400435</v>
      </c>
      <c r="B743" s="1">
        <v>45343</v>
      </c>
      <c r="C743">
        <v>2024</v>
      </c>
      <c r="D743">
        <v>1</v>
      </c>
      <c r="E743">
        <v>2</v>
      </c>
      <c r="F743">
        <v>27</v>
      </c>
      <c r="G743" s="2" t="s">
        <v>83</v>
      </c>
      <c r="H743" s="2" t="s">
        <v>18</v>
      </c>
      <c r="I743" s="2" t="s">
        <v>74</v>
      </c>
      <c r="J743" s="2" t="s">
        <v>75</v>
      </c>
      <c r="K743" s="2" t="s">
        <v>50</v>
      </c>
      <c r="L743">
        <v>10</v>
      </c>
      <c r="M743">
        <v>1683.21</v>
      </c>
      <c r="N743">
        <v>16832.099999999999</v>
      </c>
      <c r="O743" t="s">
        <v>22</v>
      </c>
      <c r="P743" s="2" t="s">
        <v>48</v>
      </c>
      <c r="Q743" s="2" t="s">
        <v>24</v>
      </c>
    </row>
    <row r="744" spans="1:17" x14ac:dyDescent="0.3">
      <c r="A744">
        <v>202400815</v>
      </c>
      <c r="B744" s="1">
        <v>45373</v>
      </c>
      <c r="C744">
        <v>2024</v>
      </c>
      <c r="D744">
        <v>1</v>
      </c>
      <c r="E744">
        <v>3</v>
      </c>
      <c r="F744">
        <v>63</v>
      </c>
      <c r="G744" s="2" t="s">
        <v>64</v>
      </c>
      <c r="H744" s="2" t="s">
        <v>69</v>
      </c>
      <c r="I744" s="2" t="s">
        <v>65</v>
      </c>
      <c r="J744" s="2" t="s">
        <v>34</v>
      </c>
      <c r="K744" s="2" t="s">
        <v>35</v>
      </c>
      <c r="L744">
        <v>5</v>
      </c>
      <c r="M744">
        <v>1203.47</v>
      </c>
      <c r="N744">
        <v>6017.35</v>
      </c>
      <c r="O744" t="s">
        <v>29</v>
      </c>
      <c r="P744" s="2" t="s">
        <v>48</v>
      </c>
      <c r="Q744" s="2" t="s">
        <v>24</v>
      </c>
    </row>
    <row r="745" spans="1:17" hidden="1" x14ac:dyDescent="0.3">
      <c r="A745">
        <v>202400154</v>
      </c>
      <c r="B745" s="1">
        <v>45593</v>
      </c>
      <c r="C745">
        <v>2024</v>
      </c>
      <c r="D745">
        <v>4</v>
      </c>
      <c r="E745">
        <v>10</v>
      </c>
      <c r="F745">
        <v>49</v>
      </c>
      <c r="G745" s="2" t="s">
        <v>83</v>
      </c>
      <c r="H745" s="2" t="s">
        <v>69</v>
      </c>
      <c r="I745" s="2" t="s">
        <v>56</v>
      </c>
      <c r="J745" s="2" t="s">
        <v>57</v>
      </c>
      <c r="K745" s="2" t="s">
        <v>70</v>
      </c>
      <c r="L745">
        <v>8</v>
      </c>
      <c r="M745">
        <v>1174.93</v>
      </c>
      <c r="N745">
        <v>9399.44</v>
      </c>
      <c r="O745" t="s">
        <v>29</v>
      </c>
      <c r="P745" s="2" t="s">
        <v>23</v>
      </c>
      <c r="Q745" s="2" t="s">
        <v>40</v>
      </c>
    </row>
    <row r="746" spans="1:17" hidden="1" x14ac:dyDescent="0.3">
      <c r="A746">
        <v>202400076</v>
      </c>
      <c r="B746" s="1">
        <v>45403</v>
      </c>
      <c r="C746">
        <v>2024</v>
      </c>
      <c r="D746">
        <v>2</v>
      </c>
      <c r="E746">
        <v>4</v>
      </c>
      <c r="F746">
        <v>55</v>
      </c>
      <c r="G746" s="2" t="s">
        <v>87</v>
      </c>
      <c r="H746" s="2" t="s">
        <v>69</v>
      </c>
      <c r="I746" s="2" t="s">
        <v>85</v>
      </c>
      <c r="J746" s="2" t="s">
        <v>57</v>
      </c>
      <c r="K746" s="2" t="s">
        <v>97</v>
      </c>
      <c r="L746">
        <v>12</v>
      </c>
      <c r="M746">
        <v>1597.11</v>
      </c>
      <c r="N746">
        <v>19165.32</v>
      </c>
      <c r="O746" t="s">
        <v>22</v>
      </c>
      <c r="P746" s="2" t="s">
        <v>30</v>
      </c>
      <c r="Q746" s="2" t="s">
        <v>24</v>
      </c>
    </row>
    <row r="747" spans="1:17" hidden="1" x14ac:dyDescent="0.3">
      <c r="A747">
        <v>202401054</v>
      </c>
      <c r="B747" s="1">
        <v>45428</v>
      </c>
      <c r="C747">
        <v>2024</v>
      </c>
      <c r="D747">
        <v>2</v>
      </c>
      <c r="E747">
        <v>5</v>
      </c>
      <c r="F747">
        <v>72</v>
      </c>
      <c r="G747" s="2" t="s">
        <v>100</v>
      </c>
      <c r="H747" s="2" t="s">
        <v>140</v>
      </c>
      <c r="I747" s="2" t="s">
        <v>33</v>
      </c>
      <c r="J747" s="2" t="s">
        <v>34</v>
      </c>
      <c r="K747" s="2" t="s">
        <v>21</v>
      </c>
      <c r="L747">
        <v>2</v>
      </c>
      <c r="M747">
        <v>1805.19</v>
      </c>
      <c r="N747">
        <v>3610.38</v>
      </c>
      <c r="O747" t="s">
        <v>36</v>
      </c>
      <c r="P747" s="2" t="s">
        <v>48</v>
      </c>
      <c r="Q747" s="2" t="s">
        <v>24</v>
      </c>
    </row>
    <row r="748" spans="1:17" hidden="1" x14ac:dyDescent="0.3">
      <c r="A748">
        <v>202400581</v>
      </c>
      <c r="B748" s="1">
        <v>45630</v>
      </c>
      <c r="C748">
        <v>2024</v>
      </c>
      <c r="D748">
        <v>4</v>
      </c>
      <c r="E748">
        <v>12</v>
      </c>
      <c r="F748">
        <v>29</v>
      </c>
      <c r="G748" s="2" t="s">
        <v>61</v>
      </c>
      <c r="H748" s="2" t="s">
        <v>62</v>
      </c>
      <c r="I748" s="2" t="s">
        <v>19</v>
      </c>
      <c r="J748" s="2" t="s">
        <v>20</v>
      </c>
      <c r="K748" s="2" t="s">
        <v>39</v>
      </c>
      <c r="L748">
        <v>14</v>
      </c>
      <c r="M748">
        <v>1073.48</v>
      </c>
      <c r="N748">
        <v>15028.720000000001</v>
      </c>
      <c r="O748" t="s">
        <v>22</v>
      </c>
      <c r="P748" s="2" t="s">
        <v>43</v>
      </c>
      <c r="Q748" s="2" t="s">
        <v>24</v>
      </c>
    </row>
    <row r="749" spans="1:17" hidden="1" x14ac:dyDescent="0.3">
      <c r="A749">
        <v>202400447</v>
      </c>
      <c r="B749" s="1">
        <v>45604</v>
      </c>
      <c r="C749">
        <v>2024</v>
      </c>
      <c r="D749">
        <v>4</v>
      </c>
      <c r="E749">
        <v>11</v>
      </c>
      <c r="F749">
        <v>42</v>
      </c>
      <c r="G749" s="2" t="s">
        <v>46</v>
      </c>
      <c r="H749" s="2" t="s">
        <v>26</v>
      </c>
      <c r="I749" s="2" t="s">
        <v>38</v>
      </c>
      <c r="J749" s="2" t="s">
        <v>20</v>
      </c>
      <c r="K749" s="2" t="s">
        <v>39</v>
      </c>
      <c r="L749">
        <v>10</v>
      </c>
      <c r="M749">
        <v>1648.23</v>
      </c>
      <c r="N749">
        <v>16482.3</v>
      </c>
      <c r="O749" t="s">
        <v>22</v>
      </c>
      <c r="P749" s="2" t="s">
        <v>43</v>
      </c>
      <c r="Q749" s="2" t="s">
        <v>24</v>
      </c>
    </row>
    <row r="750" spans="1:17" hidden="1" x14ac:dyDescent="0.3">
      <c r="A750">
        <v>202400704</v>
      </c>
      <c r="B750" s="1">
        <v>45406</v>
      </c>
      <c r="C750">
        <v>2024</v>
      </c>
      <c r="D750">
        <v>2</v>
      </c>
      <c r="E750">
        <v>4</v>
      </c>
      <c r="F750">
        <v>62</v>
      </c>
      <c r="G750" s="2" t="s">
        <v>118</v>
      </c>
      <c r="H750" s="2" t="s">
        <v>18</v>
      </c>
      <c r="I750" s="2" t="s">
        <v>54</v>
      </c>
      <c r="J750" s="2" t="s">
        <v>20</v>
      </c>
      <c r="K750" s="2" t="s">
        <v>52</v>
      </c>
      <c r="L750">
        <v>1</v>
      </c>
      <c r="M750">
        <v>195.69</v>
      </c>
      <c r="N750">
        <v>195.69</v>
      </c>
      <c r="O750" t="s">
        <v>36</v>
      </c>
      <c r="P750" s="2" t="s">
        <v>30</v>
      </c>
      <c r="Q750" s="2" t="s">
        <v>41</v>
      </c>
    </row>
    <row r="751" spans="1:17" hidden="1" x14ac:dyDescent="0.3">
      <c r="A751">
        <v>202400189</v>
      </c>
      <c r="B751" s="1">
        <v>45580</v>
      </c>
      <c r="C751">
        <v>2024</v>
      </c>
      <c r="D751">
        <v>4</v>
      </c>
      <c r="E751">
        <v>10</v>
      </c>
      <c r="F751">
        <v>59</v>
      </c>
      <c r="G751" s="2" t="s">
        <v>73</v>
      </c>
      <c r="H751" s="2" t="s">
        <v>62</v>
      </c>
      <c r="I751" s="2" t="s">
        <v>74</v>
      </c>
      <c r="J751" s="2" t="s">
        <v>75</v>
      </c>
      <c r="K751" s="2" t="s">
        <v>70</v>
      </c>
      <c r="L751">
        <v>6</v>
      </c>
      <c r="M751">
        <v>1100.54</v>
      </c>
      <c r="N751">
        <v>6603.24</v>
      </c>
      <c r="O751" t="s">
        <v>29</v>
      </c>
      <c r="P751" s="2" t="s">
        <v>23</v>
      </c>
      <c r="Q751" s="2" t="s">
        <v>24</v>
      </c>
    </row>
    <row r="752" spans="1:17" hidden="1" x14ac:dyDescent="0.3">
      <c r="A752">
        <v>202400272</v>
      </c>
      <c r="B752" s="1">
        <v>45409</v>
      </c>
      <c r="C752">
        <v>2024</v>
      </c>
      <c r="D752">
        <v>2</v>
      </c>
      <c r="E752">
        <v>4</v>
      </c>
      <c r="F752">
        <v>8</v>
      </c>
      <c r="G752" s="2" t="s">
        <v>63</v>
      </c>
      <c r="H752" s="2" t="s">
        <v>26</v>
      </c>
      <c r="I752" s="2" t="s">
        <v>54</v>
      </c>
      <c r="J752" s="2" t="s">
        <v>20</v>
      </c>
      <c r="K752" s="2" t="s">
        <v>50</v>
      </c>
      <c r="L752">
        <v>9</v>
      </c>
      <c r="M752">
        <v>1346.06</v>
      </c>
      <c r="N752">
        <v>12114.539999999999</v>
      </c>
      <c r="O752" t="s">
        <v>29</v>
      </c>
      <c r="P752" s="2" t="s">
        <v>48</v>
      </c>
      <c r="Q752" s="2" t="s">
        <v>40</v>
      </c>
    </row>
    <row r="753" spans="1:17" hidden="1" x14ac:dyDescent="0.3">
      <c r="A753">
        <v>202400237</v>
      </c>
      <c r="B753" s="1">
        <v>45470</v>
      </c>
      <c r="C753">
        <v>2024</v>
      </c>
      <c r="D753">
        <v>2</v>
      </c>
      <c r="E753">
        <v>6</v>
      </c>
      <c r="F753">
        <v>36</v>
      </c>
      <c r="G753" s="2" t="s">
        <v>123</v>
      </c>
      <c r="H753" s="2" t="s">
        <v>62</v>
      </c>
      <c r="I753" s="2" t="s">
        <v>54</v>
      </c>
      <c r="J753" s="2" t="s">
        <v>20</v>
      </c>
      <c r="K753" s="2" t="s">
        <v>71</v>
      </c>
      <c r="L753">
        <v>8</v>
      </c>
      <c r="M753">
        <v>1028.1500000000001</v>
      </c>
      <c r="N753">
        <v>8225.2000000000007</v>
      </c>
      <c r="O753" t="s">
        <v>29</v>
      </c>
      <c r="P753" s="2" t="s">
        <v>30</v>
      </c>
      <c r="Q753" s="2" t="s">
        <v>24</v>
      </c>
    </row>
    <row r="754" spans="1:17" hidden="1" x14ac:dyDescent="0.3">
      <c r="A754">
        <v>202400488</v>
      </c>
      <c r="B754" s="1">
        <v>45602</v>
      </c>
      <c r="C754">
        <v>2024</v>
      </c>
      <c r="D754">
        <v>4</v>
      </c>
      <c r="E754">
        <v>11</v>
      </c>
      <c r="F754">
        <v>80</v>
      </c>
      <c r="G754" s="2" t="s">
        <v>76</v>
      </c>
      <c r="H754" s="2" t="s">
        <v>26</v>
      </c>
      <c r="I754" s="2" t="s">
        <v>54</v>
      </c>
      <c r="J754" s="2" t="s">
        <v>20</v>
      </c>
      <c r="K754" s="2" t="s">
        <v>47</v>
      </c>
      <c r="L754">
        <v>8</v>
      </c>
      <c r="M754">
        <v>1387.88</v>
      </c>
      <c r="N754">
        <v>11103.04</v>
      </c>
      <c r="O754" t="s">
        <v>29</v>
      </c>
      <c r="P754" s="2" t="s">
        <v>48</v>
      </c>
      <c r="Q754" s="2" t="s">
        <v>24</v>
      </c>
    </row>
    <row r="755" spans="1:17" hidden="1" x14ac:dyDescent="0.3">
      <c r="A755">
        <v>202401171</v>
      </c>
      <c r="B755" s="1">
        <v>45405</v>
      </c>
      <c r="C755">
        <v>2024</v>
      </c>
      <c r="D755">
        <v>2</v>
      </c>
      <c r="E755">
        <v>4</v>
      </c>
      <c r="F755">
        <v>48</v>
      </c>
      <c r="G755" s="2" t="s">
        <v>82</v>
      </c>
      <c r="H755" s="2" t="s">
        <v>140</v>
      </c>
      <c r="I755" s="2" t="s">
        <v>78</v>
      </c>
      <c r="J755" s="2" t="s">
        <v>75</v>
      </c>
      <c r="K755" s="2" t="s">
        <v>50</v>
      </c>
      <c r="L755">
        <v>7</v>
      </c>
      <c r="M755">
        <v>953.64</v>
      </c>
      <c r="N755">
        <v>6675.48</v>
      </c>
      <c r="O755" t="s">
        <v>29</v>
      </c>
      <c r="P755" s="2" t="s">
        <v>43</v>
      </c>
      <c r="Q755" s="2" t="s">
        <v>24</v>
      </c>
    </row>
    <row r="756" spans="1:17" hidden="1" x14ac:dyDescent="0.3">
      <c r="A756">
        <v>202400560</v>
      </c>
      <c r="B756" s="1">
        <v>45449</v>
      </c>
      <c r="C756">
        <v>2024</v>
      </c>
      <c r="D756">
        <v>2</v>
      </c>
      <c r="E756">
        <v>6</v>
      </c>
      <c r="F756">
        <v>9</v>
      </c>
      <c r="G756" s="2" t="s">
        <v>44</v>
      </c>
      <c r="H756" s="2" t="s">
        <v>62</v>
      </c>
      <c r="I756" s="2" t="s">
        <v>78</v>
      </c>
      <c r="J756" s="2" t="s">
        <v>75</v>
      </c>
      <c r="K756" s="2" t="s">
        <v>47</v>
      </c>
      <c r="L756">
        <v>7</v>
      </c>
      <c r="M756">
        <v>171.44</v>
      </c>
      <c r="N756">
        <v>1200.08</v>
      </c>
      <c r="O756" t="s">
        <v>29</v>
      </c>
      <c r="P756" s="2" t="s">
        <v>43</v>
      </c>
      <c r="Q756" s="2" t="s">
        <v>31</v>
      </c>
    </row>
    <row r="757" spans="1:17" x14ac:dyDescent="0.3">
      <c r="A757">
        <v>202400118</v>
      </c>
      <c r="B757" s="1">
        <v>45330</v>
      </c>
      <c r="C757">
        <v>2024</v>
      </c>
      <c r="D757">
        <v>1</v>
      </c>
      <c r="E757">
        <v>2</v>
      </c>
      <c r="F757">
        <v>46</v>
      </c>
      <c r="G757" s="2" t="s">
        <v>88</v>
      </c>
      <c r="H757" s="2" t="s">
        <v>26</v>
      </c>
      <c r="I757" s="2" t="s">
        <v>85</v>
      </c>
      <c r="J757" s="2" t="s">
        <v>57</v>
      </c>
      <c r="K757" s="2" t="s">
        <v>52</v>
      </c>
      <c r="L757">
        <v>13</v>
      </c>
      <c r="M757">
        <v>1425.39</v>
      </c>
      <c r="N757">
        <v>18530.07</v>
      </c>
      <c r="O757" t="s">
        <v>22</v>
      </c>
      <c r="P757" s="2" t="s">
        <v>43</v>
      </c>
      <c r="Q757" s="2" t="s">
        <v>24</v>
      </c>
    </row>
    <row r="758" spans="1:17" hidden="1" x14ac:dyDescent="0.3">
      <c r="A758">
        <v>202400638</v>
      </c>
      <c r="B758" s="1">
        <v>45460</v>
      </c>
      <c r="C758">
        <v>2024</v>
      </c>
      <c r="D758">
        <v>2</v>
      </c>
      <c r="E758">
        <v>6</v>
      </c>
      <c r="F758">
        <v>75</v>
      </c>
      <c r="G758" s="2" t="s">
        <v>84</v>
      </c>
      <c r="H758" s="2" t="s">
        <v>62</v>
      </c>
      <c r="I758" s="2" t="s">
        <v>85</v>
      </c>
      <c r="J758" s="2" t="s">
        <v>57</v>
      </c>
      <c r="K758" s="2" t="s">
        <v>71</v>
      </c>
      <c r="L758">
        <v>10</v>
      </c>
      <c r="M758">
        <v>247.65</v>
      </c>
      <c r="N758">
        <v>2476.5</v>
      </c>
      <c r="O758" t="s">
        <v>22</v>
      </c>
      <c r="P758" s="2" t="s">
        <v>30</v>
      </c>
      <c r="Q758" s="2" t="s">
        <v>24</v>
      </c>
    </row>
    <row r="759" spans="1:17" x14ac:dyDescent="0.3">
      <c r="A759">
        <v>202401088</v>
      </c>
      <c r="B759" s="1">
        <v>45308</v>
      </c>
      <c r="C759">
        <v>2024</v>
      </c>
      <c r="D759">
        <v>1</v>
      </c>
      <c r="E759">
        <v>1</v>
      </c>
      <c r="F759">
        <v>5</v>
      </c>
      <c r="G759" s="2" t="s">
        <v>121</v>
      </c>
      <c r="H759" s="2" t="s">
        <v>62</v>
      </c>
      <c r="I759" s="2" t="s">
        <v>27</v>
      </c>
      <c r="J759" s="2" t="s">
        <v>20</v>
      </c>
      <c r="K759" s="2" t="s">
        <v>39</v>
      </c>
      <c r="L759">
        <v>7</v>
      </c>
      <c r="M759">
        <v>1971.42</v>
      </c>
      <c r="N759">
        <v>13799.94</v>
      </c>
      <c r="O759" t="s">
        <v>29</v>
      </c>
      <c r="P759" s="2" t="s">
        <v>30</v>
      </c>
      <c r="Q759" s="2" t="s">
        <v>24</v>
      </c>
    </row>
    <row r="760" spans="1:17" hidden="1" x14ac:dyDescent="0.3">
      <c r="A760">
        <v>202400751</v>
      </c>
      <c r="B760" s="1">
        <v>45477</v>
      </c>
      <c r="C760">
        <v>2024</v>
      </c>
      <c r="D760">
        <v>3</v>
      </c>
      <c r="E760">
        <v>7</v>
      </c>
      <c r="F760">
        <v>26</v>
      </c>
      <c r="G760" s="2" t="s">
        <v>89</v>
      </c>
      <c r="H760" s="2" t="s">
        <v>62</v>
      </c>
      <c r="I760" s="2" t="s">
        <v>67</v>
      </c>
      <c r="J760" s="2" t="s">
        <v>20</v>
      </c>
      <c r="K760" s="2" t="s">
        <v>21</v>
      </c>
      <c r="L760">
        <v>9</v>
      </c>
      <c r="M760">
        <v>1900.11</v>
      </c>
      <c r="N760">
        <v>17100.989999999998</v>
      </c>
      <c r="O760" t="s">
        <v>29</v>
      </c>
      <c r="P760" s="2" t="s">
        <v>30</v>
      </c>
      <c r="Q760" s="2" t="s">
        <v>41</v>
      </c>
    </row>
    <row r="761" spans="1:17" hidden="1" x14ac:dyDescent="0.3">
      <c r="A761">
        <v>202400513</v>
      </c>
      <c r="B761" s="1">
        <v>45589</v>
      </c>
      <c r="C761">
        <v>2024</v>
      </c>
      <c r="D761">
        <v>4</v>
      </c>
      <c r="E761">
        <v>10</v>
      </c>
      <c r="F761">
        <v>69</v>
      </c>
      <c r="G761" s="2" t="s">
        <v>98</v>
      </c>
      <c r="H761" s="2" t="s">
        <v>62</v>
      </c>
      <c r="I761" s="2" t="s">
        <v>67</v>
      </c>
      <c r="J761" s="2" t="s">
        <v>20</v>
      </c>
      <c r="K761" s="2" t="s">
        <v>59</v>
      </c>
      <c r="L761">
        <v>3</v>
      </c>
      <c r="M761">
        <v>1379.27</v>
      </c>
      <c r="N761">
        <v>4137.8099999999995</v>
      </c>
      <c r="O761" t="s">
        <v>29</v>
      </c>
      <c r="P761" s="2" t="s">
        <v>23</v>
      </c>
      <c r="Q761" s="2" t="s">
        <v>45</v>
      </c>
    </row>
    <row r="762" spans="1:17" hidden="1" x14ac:dyDescent="0.3">
      <c r="A762">
        <v>202400634</v>
      </c>
      <c r="B762" s="1">
        <v>45629</v>
      </c>
      <c r="C762">
        <v>2024</v>
      </c>
      <c r="D762">
        <v>4</v>
      </c>
      <c r="E762">
        <v>12</v>
      </c>
      <c r="F762">
        <v>7</v>
      </c>
      <c r="G762" s="2" t="s">
        <v>25</v>
      </c>
      <c r="H762" s="2" t="s">
        <v>26</v>
      </c>
      <c r="I762" s="2" t="s">
        <v>27</v>
      </c>
      <c r="J762" s="2" t="s">
        <v>20</v>
      </c>
      <c r="K762" s="2" t="s">
        <v>59</v>
      </c>
      <c r="L762">
        <v>14</v>
      </c>
      <c r="M762">
        <v>1930.03</v>
      </c>
      <c r="N762">
        <v>27020.42</v>
      </c>
      <c r="O762" t="s">
        <v>22</v>
      </c>
      <c r="P762" s="2" t="s">
        <v>30</v>
      </c>
      <c r="Q762" s="2" t="s">
        <v>24</v>
      </c>
    </row>
    <row r="763" spans="1:17" hidden="1" x14ac:dyDescent="0.3">
      <c r="A763">
        <v>202400804</v>
      </c>
      <c r="B763" s="1">
        <v>45487</v>
      </c>
      <c r="C763">
        <v>2024</v>
      </c>
      <c r="D763">
        <v>3</v>
      </c>
      <c r="E763">
        <v>7</v>
      </c>
      <c r="F763">
        <v>20</v>
      </c>
      <c r="G763" s="2" t="s">
        <v>81</v>
      </c>
      <c r="H763" s="2" t="s">
        <v>69</v>
      </c>
      <c r="I763" s="2" t="s">
        <v>56</v>
      </c>
      <c r="J763" s="2" t="s">
        <v>57</v>
      </c>
      <c r="K763" s="2" t="s">
        <v>70</v>
      </c>
      <c r="L763">
        <v>2</v>
      </c>
      <c r="M763">
        <v>1970.76</v>
      </c>
      <c r="N763">
        <v>3941.52</v>
      </c>
      <c r="O763" t="s">
        <v>36</v>
      </c>
      <c r="P763" s="2" t="s">
        <v>23</v>
      </c>
      <c r="Q763" s="2" t="s">
        <v>24</v>
      </c>
    </row>
    <row r="764" spans="1:17" hidden="1" x14ac:dyDescent="0.3">
      <c r="A764">
        <v>202401027</v>
      </c>
      <c r="B764" s="1">
        <v>45648</v>
      </c>
      <c r="C764">
        <v>2024</v>
      </c>
      <c r="D764">
        <v>4</v>
      </c>
      <c r="E764">
        <v>12</v>
      </c>
      <c r="F764">
        <v>34</v>
      </c>
      <c r="G764" s="2" t="s">
        <v>95</v>
      </c>
      <c r="H764" s="2" t="s">
        <v>18</v>
      </c>
      <c r="I764" s="2" t="s">
        <v>54</v>
      </c>
      <c r="J764" s="2" t="s">
        <v>20</v>
      </c>
      <c r="K764" s="2" t="s">
        <v>50</v>
      </c>
      <c r="L764">
        <v>7</v>
      </c>
      <c r="M764">
        <v>1285.07</v>
      </c>
      <c r="N764">
        <v>8995.49</v>
      </c>
      <c r="O764" t="s">
        <v>29</v>
      </c>
      <c r="P764" s="2" t="s">
        <v>30</v>
      </c>
      <c r="Q764" s="2" t="s">
        <v>24</v>
      </c>
    </row>
    <row r="765" spans="1:17" x14ac:dyDescent="0.3">
      <c r="A765">
        <v>202400885</v>
      </c>
      <c r="B765" s="1">
        <v>45375</v>
      </c>
      <c r="C765">
        <v>2024</v>
      </c>
      <c r="D765">
        <v>1</v>
      </c>
      <c r="E765">
        <v>3</v>
      </c>
      <c r="F765">
        <v>31</v>
      </c>
      <c r="G765" s="2" t="s">
        <v>127</v>
      </c>
      <c r="H765" s="2" t="s">
        <v>69</v>
      </c>
      <c r="I765" s="2" t="s">
        <v>54</v>
      </c>
      <c r="J765" s="2" t="s">
        <v>20</v>
      </c>
      <c r="K765" s="2" t="s">
        <v>28</v>
      </c>
      <c r="L765">
        <v>3</v>
      </c>
      <c r="M765">
        <v>110.56</v>
      </c>
      <c r="N765">
        <v>331.68</v>
      </c>
      <c r="O765" t="s">
        <v>29</v>
      </c>
      <c r="P765" s="2" t="s">
        <v>43</v>
      </c>
      <c r="Q765" s="2" t="s">
        <v>24</v>
      </c>
    </row>
    <row r="766" spans="1:17" hidden="1" x14ac:dyDescent="0.3">
      <c r="A766">
        <v>202400127</v>
      </c>
      <c r="B766" s="1">
        <v>45548</v>
      </c>
      <c r="C766">
        <v>2024</v>
      </c>
      <c r="D766">
        <v>3</v>
      </c>
      <c r="E766">
        <v>9</v>
      </c>
      <c r="F766">
        <v>8</v>
      </c>
      <c r="G766" s="2" t="s">
        <v>63</v>
      </c>
      <c r="H766" s="2" t="s">
        <v>26</v>
      </c>
      <c r="I766" s="2" t="s">
        <v>54</v>
      </c>
      <c r="J766" s="2" t="s">
        <v>20</v>
      </c>
      <c r="K766" s="2" t="s">
        <v>51</v>
      </c>
      <c r="L766">
        <v>6</v>
      </c>
      <c r="M766">
        <v>765.78</v>
      </c>
      <c r="N766">
        <v>4594.68</v>
      </c>
      <c r="O766" t="s">
        <v>29</v>
      </c>
      <c r="P766" s="2" t="s">
        <v>43</v>
      </c>
      <c r="Q766" s="2" t="s">
        <v>31</v>
      </c>
    </row>
    <row r="767" spans="1:17" x14ac:dyDescent="0.3">
      <c r="A767">
        <v>202400791</v>
      </c>
      <c r="B767" s="1">
        <v>45316</v>
      </c>
      <c r="C767">
        <v>2024</v>
      </c>
      <c r="D767">
        <v>1</v>
      </c>
      <c r="E767">
        <v>1</v>
      </c>
      <c r="F767">
        <v>62</v>
      </c>
      <c r="G767" s="2" t="s">
        <v>118</v>
      </c>
      <c r="H767" s="2" t="s">
        <v>18</v>
      </c>
      <c r="I767" s="2" t="s">
        <v>54</v>
      </c>
      <c r="J767" s="2" t="s">
        <v>20</v>
      </c>
      <c r="K767" s="2" t="s">
        <v>71</v>
      </c>
      <c r="L767">
        <v>2</v>
      </c>
      <c r="M767">
        <v>798.17</v>
      </c>
      <c r="N767">
        <v>1596.34</v>
      </c>
      <c r="O767" t="s">
        <v>36</v>
      </c>
      <c r="P767" s="2" t="s">
        <v>30</v>
      </c>
      <c r="Q767" s="2" t="s">
        <v>40</v>
      </c>
    </row>
    <row r="768" spans="1:17" hidden="1" x14ac:dyDescent="0.3">
      <c r="A768">
        <v>202400117</v>
      </c>
      <c r="B768" s="1">
        <v>45503</v>
      </c>
      <c r="C768">
        <v>2024</v>
      </c>
      <c r="D768">
        <v>3</v>
      </c>
      <c r="E768">
        <v>7</v>
      </c>
      <c r="F768">
        <v>53</v>
      </c>
      <c r="G768" s="2" t="s">
        <v>113</v>
      </c>
      <c r="H768" s="2" t="s">
        <v>26</v>
      </c>
      <c r="I768" s="2" t="s">
        <v>27</v>
      </c>
      <c r="J768" s="2" t="s">
        <v>20</v>
      </c>
      <c r="K768" s="2" t="s">
        <v>39</v>
      </c>
      <c r="L768">
        <v>7</v>
      </c>
      <c r="M768">
        <v>130.5</v>
      </c>
      <c r="N768">
        <v>913.5</v>
      </c>
      <c r="O768" t="s">
        <v>29</v>
      </c>
      <c r="P768" s="2" t="s">
        <v>23</v>
      </c>
      <c r="Q768" s="2" t="s">
        <v>24</v>
      </c>
    </row>
    <row r="769" spans="1:17" hidden="1" x14ac:dyDescent="0.3">
      <c r="A769">
        <v>202400474</v>
      </c>
      <c r="B769" s="1">
        <v>45468</v>
      </c>
      <c r="C769">
        <v>2024</v>
      </c>
      <c r="D769">
        <v>2</v>
      </c>
      <c r="E769">
        <v>6</v>
      </c>
      <c r="F769">
        <v>66</v>
      </c>
      <c r="G769" s="2" t="s">
        <v>107</v>
      </c>
      <c r="H769" s="2" t="s">
        <v>69</v>
      </c>
      <c r="I769" s="2" t="s">
        <v>78</v>
      </c>
      <c r="J769" s="2" t="s">
        <v>75</v>
      </c>
      <c r="K769" s="2" t="s">
        <v>21</v>
      </c>
      <c r="L769">
        <v>11</v>
      </c>
      <c r="M769">
        <v>972.68</v>
      </c>
      <c r="N769">
        <v>10699.48</v>
      </c>
      <c r="O769" t="s">
        <v>22</v>
      </c>
      <c r="P769" s="2" t="s">
        <v>30</v>
      </c>
      <c r="Q769" s="2" t="s">
        <v>40</v>
      </c>
    </row>
    <row r="770" spans="1:17" x14ac:dyDescent="0.3">
      <c r="A770">
        <v>202400741</v>
      </c>
      <c r="B770" s="1">
        <v>45360</v>
      </c>
      <c r="C770">
        <v>2024</v>
      </c>
      <c r="D770">
        <v>1</v>
      </c>
      <c r="E770">
        <v>3</v>
      </c>
      <c r="F770">
        <v>35</v>
      </c>
      <c r="G770" s="2" t="s">
        <v>99</v>
      </c>
      <c r="H770" s="2" t="s">
        <v>140</v>
      </c>
      <c r="I770" s="2" t="s">
        <v>27</v>
      </c>
      <c r="J770" s="2" t="s">
        <v>20</v>
      </c>
      <c r="K770" s="2" t="s">
        <v>52</v>
      </c>
      <c r="L770">
        <v>3</v>
      </c>
      <c r="M770">
        <v>1209.3599999999999</v>
      </c>
      <c r="N770">
        <v>3628.08</v>
      </c>
      <c r="O770" t="s">
        <v>29</v>
      </c>
      <c r="P770" s="2" t="s">
        <v>30</v>
      </c>
      <c r="Q770" s="2" t="s">
        <v>24</v>
      </c>
    </row>
    <row r="771" spans="1:17" hidden="1" x14ac:dyDescent="0.3">
      <c r="A771">
        <v>202401144</v>
      </c>
      <c r="B771" s="1">
        <v>45649</v>
      </c>
      <c r="C771">
        <v>2024</v>
      </c>
      <c r="D771">
        <v>4</v>
      </c>
      <c r="E771">
        <v>12</v>
      </c>
      <c r="F771">
        <v>25</v>
      </c>
      <c r="G771" s="2" t="s">
        <v>117</v>
      </c>
      <c r="H771" s="2" t="s">
        <v>26</v>
      </c>
      <c r="I771" s="2" t="s">
        <v>27</v>
      </c>
      <c r="J771" s="2" t="s">
        <v>20</v>
      </c>
      <c r="K771" s="2" t="s">
        <v>21</v>
      </c>
      <c r="L771">
        <v>2</v>
      </c>
      <c r="M771">
        <v>662.13</v>
      </c>
      <c r="N771">
        <v>1324.26</v>
      </c>
      <c r="O771" t="s">
        <v>36</v>
      </c>
      <c r="P771" s="2" t="s">
        <v>30</v>
      </c>
      <c r="Q771" s="2" t="s">
        <v>45</v>
      </c>
    </row>
    <row r="772" spans="1:17" hidden="1" x14ac:dyDescent="0.3">
      <c r="A772">
        <v>202400058</v>
      </c>
      <c r="B772" s="1">
        <v>45451</v>
      </c>
      <c r="C772">
        <v>2024</v>
      </c>
      <c r="D772">
        <v>2</v>
      </c>
      <c r="E772">
        <v>6</v>
      </c>
      <c r="F772">
        <v>65</v>
      </c>
      <c r="G772" s="2" t="s">
        <v>112</v>
      </c>
      <c r="H772" s="2" t="s">
        <v>69</v>
      </c>
      <c r="I772" s="2" t="s">
        <v>19</v>
      </c>
      <c r="J772" s="2" t="s">
        <v>20</v>
      </c>
      <c r="K772" s="2" t="s">
        <v>71</v>
      </c>
      <c r="L772">
        <v>14</v>
      </c>
      <c r="M772">
        <v>586.79</v>
      </c>
      <c r="N772">
        <v>8215.06</v>
      </c>
      <c r="O772" t="s">
        <v>22</v>
      </c>
      <c r="P772" s="2" t="s">
        <v>30</v>
      </c>
      <c r="Q772" s="2" t="s">
        <v>24</v>
      </c>
    </row>
    <row r="773" spans="1:17" hidden="1" x14ac:dyDescent="0.3">
      <c r="A773">
        <v>202400604</v>
      </c>
      <c r="B773" s="1">
        <v>45389</v>
      </c>
      <c r="C773">
        <v>2024</v>
      </c>
      <c r="D773">
        <v>2</v>
      </c>
      <c r="E773">
        <v>4</v>
      </c>
      <c r="F773">
        <v>23</v>
      </c>
      <c r="G773" s="2" t="s">
        <v>86</v>
      </c>
      <c r="H773" s="2" t="s">
        <v>26</v>
      </c>
      <c r="I773" s="2" t="s">
        <v>33</v>
      </c>
      <c r="J773" s="2" t="s">
        <v>34</v>
      </c>
      <c r="K773" s="2" t="s">
        <v>52</v>
      </c>
      <c r="L773">
        <v>5</v>
      </c>
      <c r="M773">
        <v>269.39999999999998</v>
      </c>
      <c r="N773">
        <v>1347</v>
      </c>
      <c r="O773" t="s">
        <v>29</v>
      </c>
      <c r="P773" s="2" t="s">
        <v>30</v>
      </c>
      <c r="Q773" s="2" t="s">
        <v>40</v>
      </c>
    </row>
    <row r="774" spans="1:17" hidden="1" x14ac:dyDescent="0.3">
      <c r="A774">
        <v>202400787</v>
      </c>
      <c r="B774" s="1">
        <v>45634</v>
      </c>
      <c r="C774">
        <v>2024</v>
      </c>
      <c r="D774">
        <v>4</v>
      </c>
      <c r="E774">
        <v>12</v>
      </c>
      <c r="F774">
        <v>34</v>
      </c>
      <c r="G774" s="2" t="s">
        <v>95</v>
      </c>
      <c r="H774" s="2" t="s">
        <v>18</v>
      </c>
      <c r="I774" s="2" t="s">
        <v>54</v>
      </c>
      <c r="J774" s="2" t="s">
        <v>20</v>
      </c>
      <c r="K774" s="2" t="s">
        <v>42</v>
      </c>
      <c r="L774">
        <v>4</v>
      </c>
      <c r="M774">
        <v>1772.29</v>
      </c>
      <c r="N774">
        <v>7089.16</v>
      </c>
      <c r="O774" t="s">
        <v>29</v>
      </c>
      <c r="P774" s="2" t="s">
        <v>43</v>
      </c>
      <c r="Q774" s="2" t="s">
        <v>24</v>
      </c>
    </row>
    <row r="775" spans="1:17" hidden="1" x14ac:dyDescent="0.3">
      <c r="A775">
        <v>202400994</v>
      </c>
      <c r="B775" s="1">
        <v>45619</v>
      </c>
      <c r="C775">
        <v>2024</v>
      </c>
      <c r="D775">
        <v>4</v>
      </c>
      <c r="E775">
        <v>11</v>
      </c>
      <c r="F775">
        <v>23</v>
      </c>
      <c r="G775" s="2" t="s">
        <v>86</v>
      </c>
      <c r="H775" s="2" t="s">
        <v>26</v>
      </c>
      <c r="I775" s="2" t="s">
        <v>33</v>
      </c>
      <c r="J775" s="2" t="s">
        <v>34</v>
      </c>
      <c r="K775" s="2" t="s">
        <v>71</v>
      </c>
      <c r="L775">
        <v>5</v>
      </c>
      <c r="M775">
        <v>1031.8599999999999</v>
      </c>
      <c r="N775">
        <v>5159.2999999999993</v>
      </c>
      <c r="O775" t="s">
        <v>29</v>
      </c>
      <c r="P775" s="2" t="s">
        <v>43</v>
      </c>
      <c r="Q775" s="2" t="s">
        <v>24</v>
      </c>
    </row>
    <row r="776" spans="1:17" hidden="1" x14ac:dyDescent="0.3">
      <c r="A776">
        <v>202400657</v>
      </c>
      <c r="B776" s="1">
        <v>45430</v>
      </c>
      <c r="C776">
        <v>2024</v>
      </c>
      <c r="D776">
        <v>2</v>
      </c>
      <c r="E776">
        <v>5</v>
      </c>
      <c r="F776">
        <v>66</v>
      </c>
      <c r="G776" s="2" t="s">
        <v>107</v>
      </c>
      <c r="H776" s="2" t="s">
        <v>69</v>
      </c>
      <c r="I776" s="2" t="s">
        <v>78</v>
      </c>
      <c r="J776" s="2" t="s">
        <v>75</v>
      </c>
      <c r="K776" s="2" t="s">
        <v>35</v>
      </c>
      <c r="L776">
        <v>5</v>
      </c>
      <c r="M776">
        <v>1755.67</v>
      </c>
      <c r="N776">
        <v>8778.35</v>
      </c>
      <c r="O776" t="s">
        <v>29</v>
      </c>
      <c r="P776" s="2" t="s">
        <v>30</v>
      </c>
      <c r="Q776" s="2" t="s">
        <v>24</v>
      </c>
    </row>
    <row r="777" spans="1:17" hidden="1" x14ac:dyDescent="0.3">
      <c r="A777">
        <v>202400924</v>
      </c>
      <c r="B777" s="1">
        <v>45610</v>
      </c>
      <c r="C777">
        <v>2024</v>
      </c>
      <c r="D777">
        <v>4</v>
      </c>
      <c r="E777">
        <v>11</v>
      </c>
      <c r="F777">
        <v>4</v>
      </c>
      <c r="G777" s="2" t="s">
        <v>110</v>
      </c>
      <c r="H777" s="2" t="s">
        <v>69</v>
      </c>
      <c r="I777" s="2" t="s">
        <v>78</v>
      </c>
      <c r="J777" s="2" t="s">
        <v>75</v>
      </c>
      <c r="K777" s="2" t="s">
        <v>59</v>
      </c>
      <c r="L777">
        <v>1</v>
      </c>
      <c r="M777">
        <v>1950.97</v>
      </c>
      <c r="N777">
        <v>1950.97</v>
      </c>
      <c r="O777" t="s">
        <v>36</v>
      </c>
      <c r="P777" s="2" t="s">
        <v>23</v>
      </c>
      <c r="Q777" s="2" t="s">
        <v>24</v>
      </c>
    </row>
    <row r="778" spans="1:17" hidden="1" x14ac:dyDescent="0.3">
      <c r="A778">
        <v>202400943</v>
      </c>
      <c r="B778" s="1">
        <v>45536</v>
      </c>
      <c r="C778">
        <v>2024</v>
      </c>
      <c r="D778">
        <v>3</v>
      </c>
      <c r="E778">
        <v>9</v>
      </c>
      <c r="F778">
        <v>47</v>
      </c>
      <c r="G778" s="2" t="s">
        <v>120</v>
      </c>
      <c r="H778" s="2" t="s">
        <v>140</v>
      </c>
      <c r="I778" s="2" t="s">
        <v>38</v>
      </c>
      <c r="J778" s="2" t="s">
        <v>20</v>
      </c>
      <c r="K778" s="2" t="s">
        <v>35</v>
      </c>
      <c r="L778">
        <v>4</v>
      </c>
      <c r="M778">
        <v>1162.77</v>
      </c>
      <c r="N778">
        <v>4651.08</v>
      </c>
      <c r="O778" t="s">
        <v>29</v>
      </c>
      <c r="P778" s="2" t="s">
        <v>43</v>
      </c>
      <c r="Q778" s="2" t="s">
        <v>40</v>
      </c>
    </row>
    <row r="779" spans="1:17" hidden="1" x14ac:dyDescent="0.3">
      <c r="A779">
        <v>202400106</v>
      </c>
      <c r="B779" s="1">
        <v>45484</v>
      </c>
      <c r="C779">
        <v>2024</v>
      </c>
      <c r="D779">
        <v>3</v>
      </c>
      <c r="E779">
        <v>7</v>
      </c>
      <c r="F779">
        <v>66</v>
      </c>
      <c r="G779" s="2" t="s">
        <v>107</v>
      </c>
      <c r="H779" s="2" t="s">
        <v>69</v>
      </c>
      <c r="I779" s="2" t="s">
        <v>78</v>
      </c>
      <c r="J779" s="2" t="s">
        <v>75</v>
      </c>
      <c r="K779" s="2" t="s">
        <v>51</v>
      </c>
      <c r="L779">
        <v>11</v>
      </c>
      <c r="M779">
        <v>688.46</v>
      </c>
      <c r="N779">
        <v>7573.06</v>
      </c>
      <c r="O779" t="s">
        <v>22</v>
      </c>
      <c r="P779" s="2" t="s">
        <v>30</v>
      </c>
      <c r="Q779" s="2" t="s">
        <v>45</v>
      </c>
    </row>
    <row r="780" spans="1:17" hidden="1" x14ac:dyDescent="0.3">
      <c r="A780">
        <v>202400636</v>
      </c>
      <c r="B780" s="1">
        <v>45396</v>
      </c>
      <c r="C780">
        <v>2024</v>
      </c>
      <c r="D780">
        <v>2</v>
      </c>
      <c r="E780">
        <v>4</v>
      </c>
      <c r="F780">
        <v>32</v>
      </c>
      <c r="G780" s="2" t="s">
        <v>93</v>
      </c>
      <c r="H780" s="2" t="s">
        <v>26</v>
      </c>
      <c r="I780" s="2" t="s">
        <v>65</v>
      </c>
      <c r="J780" s="2" t="s">
        <v>34</v>
      </c>
      <c r="K780" s="2" t="s">
        <v>42</v>
      </c>
      <c r="L780">
        <v>6</v>
      </c>
      <c r="M780">
        <v>1874.5</v>
      </c>
      <c r="N780">
        <v>11247</v>
      </c>
      <c r="O780" t="s">
        <v>29</v>
      </c>
      <c r="P780" s="2" t="s">
        <v>23</v>
      </c>
      <c r="Q780" s="2" t="s">
        <v>40</v>
      </c>
    </row>
    <row r="781" spans="1:17" hidden="1" x14ac:dyDescent="0.3">
      <c r="A781">
        <v>202400370</v>
      </c>
      <c r="B781" s="1">
        <v>45398</v>
      </c>
      <c r="C781">
        <v>2024</v>
      </c>
      <c r="D781">
        <v>2</v>
      </c>
      <c r="E781">
        <v>4</v>
      </c>
      <c r="F781">
        <v>18</v>
      </c>
      <c r="G781" s="2" t="s">
        <v>116</v>
      </c>
      <c r="H781" s="2" t="s">
        <v>62</v>
      </c>
      <c r="I781" s="2" t="s">
        <v>54</v>
      </c>
      <c r="J781" s="2" t="s">
        <v>20</v>
      </c>
      <c r="K781" s="2" t="s">
        <v>39</v>
      </c>
      <c r="L781">
        <v>6</v>
      </c>
      <c r="M781">
        <v>1395.78</v>
      </c>
      <c r="N781">
        <v>8374.68</v>
      </c>
      <c r="O781" t="s">
        <v>29</v>
      </c>
      <c r="P781" s="2" t="s">
        <v>43</v>
      </c>
      <c r="Q781" s="2" t="s">
        <v>24</v>
      </c>
    </row>
    <row r="782" spans="1:17" x14ac:dyDescent="0.3">
      <c r="A782">
        <v>202400269</v>
      </c>
      <c r="B782" s="1">
        <v>45309</v>
      </c>
      <c r="C782">
        <v>2024</v>
      </c>
      <c r="D782">
        <v>1</v>
      </c>
      <c r="E782">
        <v>1</v>
      </c>
      <c r="F782">
        <v>37</v>
      </c>
      <c r="G782" s="2" t="s">
        <v>96</v>
      </c>
      <c r="H782" s="2" t="s">
        <v>62</v>
      </c>
      <c r="I782" s="2" t="s">
        <v>56</v>
      </c>
      <c r="J782" s="2" t="s">
        <v>57</v>
      </c>
      <c r="K782" s="2" t="s">
        <v>50</v>
      </c>
      <c r="L782">
        <v>3</v>
      </c>
      <c r="M782">
        <v>176.89</v>
      </c>
      <c r="N782">
        <v>530.66999999999996</v>
      </c>
      <c r="O782" t="s">
        <v>29</v>
      </c>
      <c r="P782" s="2" t="s">
        <v>48</v>
      </c>
      <c r="Q782" s="2" t="s">
        <v>24</v>
      </c>
    </row>
    <row r="783" spans="1:17" hidden="1" x14ac:dyDescent="0.3">
      <c r="A783">
        <v>202400656</v>
      </c>
      <c r="B783" s="1">
        <v>45607</v>
      </c>
      <c r="C783">
        <v>2024</v>
      </c>
      <c r="D783">
        <v>4</v>
      </c>
      <c r="E783">
        <v>11</v>
      </c>
      <c r="F783">
        <v>52</v>
      </c>
      <c r="G783" s="2" t="s">
        <v>105</v>
      </c>
      <c r="H783" s="2" t="s">
        <v>62</v>
      </c>
      <c r="I783" s="2" t="s">
        <v>78</v>
      </c>
      <c r="J783" s="2" t="s">
        <v>75</v>
      </c>
      <c r="K783" s="2" t="s">
        <v>70</v>
      </c>
      <c r="L783">
        <v>2</v>
      </c>
      <c r="M783">
        <v>978.22</v>
      </c>
      <c r="N783">
        <v>1956.44</v>
      </c>
      <c r="O783" t="s">
        <v>36</v>
      </c>
      <c r="P783" s="2" t="s">
        <v>43</v>
      </c>
      <c r="Q783" s="2" t="s">
        <v>45</v>
      </c>
    </row>
    <row r="784" spans="1:17" hidden="1" x14ac:dyDescent="0.3">
      <c r="A784">
        <v>202400047</v>
      </c>
      <c r="B784" s="1">
        <v>45582</v>
      </c>
      <c r="C784">
        <v>2024</v>
      </c>
      <c r="D784">
        <v>4</v>
      </c>
      <c r="E784">
        <v>10</v>
      </c>
      <c r="F784">
        <v>16</v>
      </c>
      <c r="G784" s="2" t="s">
        <v>91</v>
      </c>
      <c r="H784" s="2" t="s">
        <v>18</v>
      </c>
      <c r="I784" s="2" t="s">
        <v>65</v>
      </c>
      <c r="J784" s="2" t="s">
        <v>34</v>
      </c>
      <c r="K784" s="2" t="s">
        <v>60</v>
      </c>
      <c r="L784">
        <v>10</v>
      </c>
      <c r="M784">
        <v>885.41</v>
      </c>
      <c r="N784">
        <v>8854.1</v>
      </c>
      <c r="O784" t="s">
        <v>22</v>
      </c>
      <c r="P784" s="2" t="s">
        <v>48</v>
      </c>
      <c r="Q784" s="2" t="s">
        <v>40</v>
      </c>
    </row>
    <row r="785" spans="1:17" hidden="1" x14ac:dyDescent="0.3">
      <c r="A785">
        <v>202400350</v>
      </c>
      <c r="B785" s="1">
        <v>45424</v>
      </c>
      <c r="C785">
        <v>2024</v>
      </c>
      <c r="D785">
        <v>2</v>
      </c>
      <c r="E785">
        <v>5</v>
      </c>
      <c r="F785">
        <v>25</v>
      </c>
      <c r="G785" s="2" t="s">
        <v>117</v>
      </c>
      <c r="H785" s="2" t="s">
        <v>26</v>
      </c>
      <c r="I785" s="2" t="s">
        <v>27</v>
      </c>
      <c r="J785" s="2" t="s">
        <v>20</v>
      </c>
      <c r="K785" s="2" t="s">
        <v>35</v>
      </c>
      <c r="L785">
        <v>2</v>
      </c>
      <c r="M785">
        <v>1334.63</v>
      </c>
      <c r="N785">
        <v>2669.26</v>
      </c>
      <c r="O785" t="s">
        <v>36</v>
      </c>
      <c r="P785" s="2" t="s">
        <v>48</v>
      </c>
      <c r="Q785" s="2" t="s">
        <v>40</v>
      </c>
    </row>
    <row r="786" spans="1:17" hidden="1" x14ac:dyDescent="0.3">
      <c r="A786">
        <v>202400774</v>
      </c>
      <c r="B786" s="1">
        <v>45651</v>
      </c>
      <c r="C786">
        <v>2024</v>
      </c>
      <c r="D786">
        <v>4</v>
      </c>
      <c r="E786">
        <v>12</v>
      </c>
      <c r="F786">
        <v>41</v>
      </c>
      <c r="G786" s="2" t="s">
        <v>99</v>
      </c>
      <c r="H786" s="2" t="s">
        <v>18</v>
      </c>
      <c r="I786" s="2" t="s">
        <v>78</v>
      </c>
      <c r="J786" s="2" t="s">
        <v>75</v>
      </c>
      <c r="K786" s="2" t="s">
        <v>52</v>
      </c>
      <c r="L786">
        <v>12</v>
      </c>
      <c r="M786">
        <v>1620.95</v>
      </c>
      <c r="N786">
        <v>19451.400000000001</v>
      </c>
      <c r="O786" t="s">
        <v>22</v>
      </c>
      <c r="P786" s="2" t="s">
        <v>23</v>
      </c>
      <c r="Q786" s="2" t="s">
        <v>24</v>
      </c>
    </row>
    <row r="787" spans="1:17" hidden="1" x14ac:dyDescent="0.3">
      <c r="A787">
        <v>202400196</v>
      </c>
      <c r="B787" s="1">
        <v>45443</v>
      </c>
      <c r="C787">
        <v>2024</v>
      </c>
      <c r="D787">
        <v>2</v>
      </c>
      <c r="E787">
        <v>5</v>
      </c>
      <c r="F787">
        <v>20</v>
      </c>
      <c r="G787" s="2" t="s">
        <v>81</v>
      </c>
      <c r="H787" s="2" t="s">
        <v>69</v>
      </c>
      <c r="I787" s="2" t="s">
        <v>56</v>
      </c>
      <c r="J787" s="2" t="s">
        <v>57</v>
      </c>
      <c r="K787" s="2" t="s">
        <v>50</v>
      </c>
      <c r="L787">
        <v>9</v>
      </c>
      <c r="M787">
        <v>1006.37</v>
      </c>
      <c r="N787">
        <v>9057.33</v>
      </c>
      <c r="O787" t="s">
        <v>29</v>
      </c>
      <c r="P787" s="2" t="s">
        <v>30</v>
      </c>
      <c r="Q787" s="2" t="s">
        <v>24</v>
      </c>
    </row>
    <row r="788" spans="1:17" hidden="1" x14ac:dyDescent="0.3">
      <c r="A788">
        <v>202400103</v>
      </c>
      <c r="B788" s="1">
        <v>45651</v>
      </c>
      <c r="C788">
        <v>2024</v>
      </c>
      <c r="D788">
        <v>4</v>
      </c>
      <c r="E788">
        <v>12</v>
      </c>
      <c r="F788">
        <v>7</v>
      </c>
      <c r="G788" s="2" t="s">
        <v>25</v>
      </c>
      <c r="H788" s="2" t="s">
        <v>26</v>
      </c>
      <c r="I788" s="2" t="s">
        <v>27</v>
      </c>
      <c r="J788" s="2" t="s">
        <v>20</v>
      </c>
      <c r="K788" s="2" t="s">
        <v>39</v>
      </c>
      <c r="L788">
        <v>9</v>
      </c>
      <c r="M788">
        <v>1936.65</v>
      </c>
      <c r="N788">
        <v>17429.850000000002</v>
      </c>
      <c r="O788" t="s">
        <v>29</v>
      </c>
      <c r="P788" s="2" t="s">
        <v>43</v>
      </c>
      <c r="Q788" s="2" t="s">
        <v>24</v>
      </c>
    </row>
    <row r="789" spans="1:17" hidden="1" x14ac:dyDescent="0.3">
      <c r="A789">
        <v>202400005</v>
      </c>
      <c r="B789" s="1">
        <v>45529</v>
      </c>
      <c r="C789">
        <v>2024</v>
      </c>
      <c r="D789">
        <v>3</v>
      </c>
      <c r="E789">
        <v>8</v>
      </c>
      <c r="F789">
        <v>42</v>
      </c>
      <c r="G789" s="2" t="s">
        <v>46</v>
      </c>
      <c r="H789" s="2" t="s">
        <v>26</v>
      </c>
      <c r="I789" s="2" t="s">
        <v>38</v>
      </c>
      <c r="J789" s="2" t="s">
        <v>20</v>
      </c>
      <c r="K789" s="2" t="s">
        <v>51</v>
      </c>
      <c r="L789">
        <v>1</v>
      </c>
      <c r="M789">
        <v>1572.03</v>
      </c>
      <c r="N789">
        <v>1572.03</v>
      </c>
      <c r="O789" t="s">
        <v>36</v>
      </c>
      <c r="P789" s="2" t="s">
        <v>43</v>
      </c>
      <c r="Q789" s="2" t="s">
        <v>24</v>
      </c>
    </row>
    <row r="790" spans="1:17" hidden="1" x14ac:dyDescent="0.3">
      <c r="A790">
        <v>202400620</v>
      </c>
      <c r="B790" s="1">
        <v>45588</v>
      </c>
      <c r="C790">
        <v>2024</v>
      </c>
      <c r="D790">
        <v>4</v>
      </c>
      <c r="E790">
        <v>10</v>
      </c>
      <c r="F790">
        <v>11</v>
      </c>
      <c r="G790" s="2" t="s">
        <v>66</v>
      </c>
      <c r="H790" s="2" t="s">
        <v>18</v>
      </c>
      <c r="I790" s="2" t="s">
        <v>67</v>
      </c>
      <c r="J790" s="2" t="s">
        <v>20</v>
      </c>
      <c r="K790" s="2" t="s">
        <v>47</v>
      </c>
      <c r="L790">
        <v>7</v>
      </c>
      <c r="M790">
        <v>952.79</v>
      </c>
      <c r="N790">
        <v>6669.53</v>
      </c>
      <c r="O790" t="s">
        <v>29</v>
      </c>
      <c r="P790" s="2" t="s">
        <v>43</v>
      </c>
      <c r="Q790" s="2" t="s">
        <v>41</v>
      </c>
    </row>
    <row r="791" spans="1:17" hidden="1" x14ac:dyDescent="0.3">
      <c r="A791">
        <v>202401014</v>
      </c>
      <c r="B791" s="1">
        <v>45539</v>
      </c>
      <c r="C791">
        <v>2024</v>
      </c>
      <c r="D791">
        <v>3</v>
      </c>
      <c r="E791">
        <v>9</v>
      </c>
      <c r="F791">
        <v>48</v>
      </c>
      <c r="G791" s="2" t="s">
        <v>82</v>
      </c>
      <c r="H791" s="2" t="s">
        <v>140</v>
      </c>
      <c r="I791" s="2" t="s">
        <v>78</v>
      </c>
      <c r="J791" s="2" t="s">
        <v>75</v>
      </c>
      <c r="K791" s="2" t="s">
        <v>70</v>
      </c>
      <c r="L791">
        <v>14</v>
      </c>
      <c r="M791">
        <v>11.14</v>
      </c>
      <c r="N791">
        <v>155.96</v>
      </c>
      <c r="O791" t="s">
        <v>22</v>
      </c>
      <c r="P791" s="2" t="s">
        <v>30</v>
      </c>
      <c r="Q791" s="2" t="s">
        <v>31</v>
      </c>
    </row>
    <row r="792" spans="1:17" hidden="1" x14ac:dyDescent="0.3">
      <c r="A792">
        <v>202400053</v>
      </c>
      <c r="B792" s="1">
        <v>45544</v>
      </c>
      <c r="C792">
        <v>2024</v>
      </c>
      <c r="D792">
        <v>3</v>
      </c>
      <c r="E792">
        <v>9</v>
      </c>
      <c r="F792">
        <v>7</v>
      </c>
      <c r="G792" s="2" t="s">
        <v>25</v>
      </c>
      <c r="H792" s="2" t="s">
        <v>26</v>
      </c>
      <c r="I792" s="2" t="s">
        <v>27</v>
      </c>
      <c r="J792" s="2" t="s">
        <v>20</v>
      </c>
      <c r="K792" s="2" t="s">
        <v>50</v>
      </c>
      <c r="L792">
        <v>7</v>
      </c>
      <c r="M792">
        <v>81.62</v>
      </c>
      <c r="N792">
        <v>571.34</v>
      </c>
      <c r="O792" t="s">
        <v>29</v>
      </c>
      <c r="P792" s="2" t="s">
        <v>43</v>
      </c>
      <c r="Q792" s="2" t="s">
        <v>45</v>
      </c>
    </row>
    <row r="793" spans="1:17" hidden="1" x14ac:dyDescent="0.3">
      <c r="A793">
        <v>202400264</v>
      </c>
      <c r="B793" s="1">
        <v>45545</v>
      </c>
      <c r="C793">
        <v>2024</v>
      </c>
      <c r="D793">
        <v>3</v>
      </c>
      <c r="E793">
        <v>9</v>
      </c>
      <c r="F793">
        <v>59</v>
      </c>
      <c r="G793" s="2" t="s">
        <v>73</v>
      </c>
      <c r="H793" s="2" t="s">
        <v>62</v>
      </c>
      <c r="I793" s="2" t="s">
        <v>74</v>
      </c>
      <c r="J793" s="2" t="s">
        <v>75</v>
      </c>
      <c r="K793" s="2" t="s">
        <v>59</v>
      </c>
      <c r="L793">
        <v>14</v>
      </c>
      <c r="M793">
        <v>980.88</v>
      </c>
      <c r="N793">
        <v>13732.32</v>
      </c>
      <c r="O793" t="s">
        <v>22</v>
      </c>
      <c r="P793" s="2" t="s">
        <v>43</v>
      </c>
      <c r="Q793" s="2" t="s">
        <v>24</v>
      </c>
    </row>
    <row r="794" spans="1:17" hidden="1" x14ac:dyDescent="0.3">
      <c r="A794">
        <v>202401104</v>
      </c>
      <c r="B794" s="1">
        <v>45399</v>
      </c>
      <c r="C794">
        <v>2024</v>
      </c>
      <c r="D794">
        <v>2</v>
      </c>
      <c r="E794">
        <v>4</v>
      </c>
      <c r="F794">
        <v>78</v>
      </c>
      <c r="G794" s="2" t="s">
        <v>131</v>
      </c>
      <c r="H794" s="2" t="s">
        <v>69</v>
      </c>
      <c r="I794" s="2" t="s">
        <v>19</v>
      </c>
      <c r="J794" s="2" t="s">
        <v>20</v>
      </c>
      <c r="K794" s="2" t="s">
        <v>28</v>
      </c>
      <c r="L794">
        <v>6</v>
      </c>
      <c r="M794">
        <v>1970.91</v>
      </c>
      <c r="N794">
        <v>11825.460000000001</v>
      </c>
      <c r="O794" t="s">
        <v>29</v>
      </c>
      <c r="P794" s="2" t="s">
        <v>30</v>
      </c>
      <c r="Q794" s="2" t="s">
        <v>41</v>
      </c>
    </row>
    <row r="795" spans="1:17" hidden="1" x14ac:dyDescent="0.3">
      <c r="A795">
        <v>202400444</v>
      </c>
      <c r="B795" s="1">
        <v>45502</v>
      </c>
      <c r="C795">
        <v>2024</v>
      </c>
      <c r="D795">
        <v>3</v>
      </c>
      <c r="E795">
        <v>7</v>
      </c>
      <c r="F795">
        <v>79</v>
      </c>
      <c r="G795" s="2" t="s">
        <v>108</v>
      </c>
      <c r="H795" s="2" t="s">
        <v>69</v>
      </c>
      <c r="I795" s="2" t="s">
        <v>85</v>
      </c>
      <c r="J795" s="2" t="s">
        <v>57</v>
      </c>
      <c r="K795" s="2" t="s">
        <v>97</v>
      </c>
      <c r="L795">
        <v>8</v>
      </c>
      <c r="M795">
        <v>1693.22</v>
      </c>
      <c r="N795">
        <v>13545.76</v>
      </c>
      <c r="O795" t="s">
        <v>29</v>
      </c>
      <c r="P795" s="2" t="s">
        <v>43</v>
      </c>
      <c r="Q795" s="2" t="s">
        <v>24</v>
      </c>
    </row>
    <row r="796" spans="1:17" hidden="1" x14ac:dyDescent="0.3">
      <c r="A796">
        <v>202400995</v>
      </c>
      <c r="B796" s="1">
        <v>45611</v>
      </c>
      <c r="C796">
        <v>2024</v>
      </c>
      <c r="D796">
        <v>4</v>
      </c>
      <c r="E796">
        <v>11</v>
      </c>
      <c r="F796">
        <v>37</v>
      </c>
      <c r="G796" s="2" t="s">
        <v>96</v>
      </c>
      <c r="H796" s="2" t="s">
        <v>62</v>
      </c>
      <c r="I796" s="2" t="s">
        <v>56</v>
      </c>
      <c r="J796" s="2" t="s">
        <v>57</v>
      </c>
      <c r="K796" s="2" t="s">
        <v>60</v>
      </c>
      <c r="L796">
        <v>4</v>
      </c>
      <c r="M796">
        <v>575.54</v>
      </c>
      <c r="N796">
        <v>2302.16</v>
      </c>
      <c r="O796" t="s">
        <v>29</v>
      </c>
      <c r="P796" s="2" t="s">
        <v>48</v>
      </c>
      <c r="Q796" s="2" t="s">
        <v>24</v>
      </c>
    </row>
    <row r="797" spans="1:17" hidden="1" x14ac:dyDescent="0.3">
      <c r="A797">
        <v>202400783</v>
      </c>
      <c r="B797" s="1">
        <v>45465</v>
      </c>
      <c r="C797">
        <v>2024</v>
      </c>
      <c r="D797">
        <v>2</v>
      </c>
      <c r="E797">
        <v>6</v>
      </c>
      <c r="F797">
        <v>62</v>
      </c>
      <c r="G797" s="2" t="s">
        <v>118</v>
      </c>
      <c r="H797" s="2" t="s">
        <v>18</v>
      </c>
      <c r="I797" s="2" t="s">
        <v>54</v>
      </c>
      <c r="J797" s="2" t="s">
        <v>20</v>
      </c>
      <c r="K797" s="2" t="s">
        <v>39</v>
      </c>
      <c r="L797">
        <v>12</v>
      </c>
      <c r="M797">
        <v>986.12</v>
      </c>
      <c r="N797">
        <v>11833.44</v>
      </c>
      <c r="O797" t="s">
        <v>22</v>
      </c>
      <c r="P797" s="2" t="s">
        <v>48</v>
      </c>
      <c r="Q797" s="2" t="s">
        <v>31</v>
      </c>
    </row>
    <row r="798" spans="1:17" x14ac:dyDescent="0.3">
      <c r="A798">
        <v>202400866</v>
      </c>
      <c r="B798" s="1">
        <v>45297</v>
      </c>
      <c r="C798">
        <v>2024</v>
      </c>
      <c r="D798">
        <v>1</v>
      </c>
      <c r="E798">
        <v>1</v>
      </c>
      <c r="F798">
        <v>77</v>
      </c>
      <c r="G798" s="2" t="s">
        <v>109</v>
      </c>
      <c r="H798" s="2" t="s">
        <v>140</v>
      </c>
      <c r="I798" s="2" t="s">
        <v>74</v>
      </c>
      <c r="J798" s="2" t="s">
        <v>75</v>
      </c>
      <c r="K798" s="2" t="s">
        <v>70</v>
      </c>
      <c r="L798">
        <v>5</v>
      </c>
      <c r="M798">
        <v>516.73</v>
      </c>
      <c r="N798">
        <v>2583.65</v>
      </c>
      <c r="O798" t="s">
        <v>29</v>
      </c>
      <c r="P798" s="2" t="s">
        <v>43</v>
      </c>
      <c r="Q798" s="2" t="s">
        <v>24</v>
      </c>
    </row>
    <row r="799" spans="1:17" hidden="1" x14ac:dyDescent="0.3">
      <c r="A799">
        <v>202400692</v>
      </c>
      <c r="B799" s="1">
        <v>45556</v>
      </c>
      <c r="C799">
        <v>2024</v>
      </c>
      <c r="D799">
        <v>3</v>
      </c>
      <c r="E799">
        <v>9</v>
      </c>
      <c r="F799">
        <v>33</v>
      </c>
      <c r="G799" s="2" t="s">
        <v>133</v>
      </c>
      <c r="H799" s="2" t="s">
        <v>140</v>
      </c>
      <c r="I799" s="2" t="s">
        <v>33</v>
      </c>
      <c r="J799" s="2" t="s">
        <v>34</v>
      </c>
      <c r="K799" s="2" t="s">
        <v>35</v>
      </c>
      <c r="L799">
        <v>13</v>
      </c>
      <c r="M799">
        <v>1846.67</v>
      </c>
      <c r="N799">
        <v>24006.71</v>
      </c>
      <c r="O799" t="s">
        <v>22</v>
      </c>
      <c r="P799" s="2" t="s">
        <v>48</v>
      </c>
      <c r="Q799" s="2" t="s">
        <v>40</v>
      </c>
    </row>
    <row r="800" spans="1:17" hidden="1" x14ac:dyDescent="0.3">
      <c r="A800">
        <v>202400305</v>
      </c>
      <c r="B800" s="1">
        <v>45484</v>
      </c>
      <c r="C800">
        <v>2024</v>
      </c>
      <c r="D800">
        <v>3</v>
      </c>
      <c r="E800">
        <v>7</v>
      </c>
      <c r="F800">
        <v>73</v>
      </c>
      <c r="G800" s="2" t="s">
        <v>111</v>
      </c>
      <c r="H800" s="2" t="s">
        <v>26</v>
      </c>
      <c r="I800" s="2" t="s">
        <v>27</v>
      </c>
      <c r="J800" s="2" t="s">
        <v>20</v>
      </c>
      <c r="K800" s="2" t="s">
        <v>60</v>
      </c>
      <c r="L800">
        <v>5</v>
      </c>
      <c r="M800">
        <v>860.49</v>
      </c>
      <c r="N800">
        <v>4302.45</v>
      </c>
      <c r="O800" t="s">
        <v>29</v>
      </c>
      <c r="P800" s="2" t="s">
        <v>30</v>
      </c>
      <c r="Q800" s="2" t="s">
        <v>24</v>
      </c>
    </row>
    <row r="801" spans="1:17" hidden="1" x14ac:dyDescent="0.3">
      <c r="A801">
        <v>202400887</v>
      </c>
      <c r="B801" s="1">
        <v>45458</v>
      </c>
      <c r="C801">
        <v>2024</v>
      </c>
      <c r="D801">
        <v>2</v>
      </c>
      <c r="E801">
        <v>6</v>
      </c>
      <c r="F801">
        <v>66</v>
      </c>
      <c r="G801" s="2" t="s">
        <v>107</v>
      </c>
      <c r="H801" s="2" t="s">
        <v>69</v>
      </c>
      <c r="I801" s="2" t="s">
        <v>78</v>
      </c>
      <c r="J801" s="2" t="s">
        <v>75</v>
      </c>
      <c r="K801" s="2" t="s">
        <v>70</v>
      </c>
      <c r="L801">
        <v>5</v>
      </c>
      <c r="M801">
        <v>972.54</v>
      </c>
      <c r="N801">
        <v>4862.7</v>
      </c>
      <c r="O801" t="s">
        <v>29</v>
      </c>
      <c r="P801" s="2" t="s">
        <v>48</v>
      </c>
      <c r="Q801" s="2" t="s">
        <v>24</v>
      </c>
    </row>
    <row r="802" spans="1:17" hidden="1" x14ac:dyDescent="0.3">
      <c r="A802">
        <v>202400314</v>
      </c>
      <c r="B802" s="1">
        <v>45476</v>
      </c>
      <c r="C802">
        <v>2024</v>
      </c>
      <c r="D802">
        <v>3</v>
      </c>
      <c r="E802">
        <v>7</v>
      </c>
      <c r="F802">
        <v>23</v>
      </c>
      <c r="G802" s="2" t="s">
        <v>86</v>
      </c>
      <c r="H802" s="2" t="s">
        <v>26</v>
      </c>
      <c r="I802" s="2" t="s">
        <v>33</v>
      </c>
      <c r="J802" s="2" t="s">
        <v>34</v>
      </c>
      <c r="K802" s="2" t="s">
        <v>35</v>
      </c>
      <c r="L802">
        <v>6</v>
      </c>
      <c r="M802">
        <v>1631.63</v>
      </c>
      <c r="N802">
        <v>9789.7800000000007</v>
      </c>
      <c r="O802" t="s">
        <v>29</v>
      </c>
      <c r="P802" s="2" t="s">
        <v>23</v>
      </c>
      <c r="Q802" s="2" t="s">
        <v>24</v>
      </c>
    </row>
    <row r="803" spans="1:17" hidden="1" x14ac:dyDescent="0.3">
      <c r="A803">
        <v>202400150</v>
      </c>
      <c r="B803" s="1">
        <v>45415</v>
      </c>
      <c r="C803">
        <v>2024</v>
      </c>
      <c r="D803">
        <v>2</v>
      </c>
      <c r="E803">
        <v>5</v>
      </c>
      <c r="F803">
        <v>6</v>
      </c>
      <c r="G803" s="2" t="s">
        <v>55</v>
      </c>
      <c r="H803" s="2" t="s">
        <v>26</v>
      </c>
      <c r="I803" s="2" t="s">
        <v>56</v>
      </c>
      <c r="J803" s="2" t="s">
        <v>57</v>
      </c>
      <c r="K803" s="2" t="s">
        <v>51</v>
      </c>
      <c r="L803">
        <v>1</v>
      </c>
      <c r="M803">
        <v>924.62</v>
      </c>
      <c r="N803">
        <v>924.62</v>
      </c>
      <c r="O803" t="s">
        <v>36</v>
      </c>
      <c r="P803" s="2" t="s">
        <v>30</v>
      </c>
      <c r="Q803" s="2" t="s">
        <v>24</v>
      </c>
    </row>
    <row r="804" spans="1:17" hidden="1" x14ac:dyDescent="0.3">
      <c r="A804">
        <v>202400125</v>
      </c>
      <c r="B804" s="1">
        <v>45418</v>
      </c>
      <c r="C804">
        <v>2024</v>
      </c>
      <c r="D804">
        <v>2</v>
      </c>
      <c r="E804">
        <v>5</v>
      </c>
      <c r="F804">
        <v>30</v>
      </c>
      <c r="G804" s="2" t="s">
        <v>91</v>
      </c>
      <c r="H804" s="2" t="s">
        <v>69</v>
      </c>
      <c r="I804" s="2" t="s">
        <v>65</v>
      </c>
      <c r="J804" s="2" t="s">
        <v>34</v>
      </c>
      <c r="K804" s="2" t="s">
        <v>42</v>
      </c>
      <c r="L804">
        <v>7</v>
      </c>
      <c r="M804">
        <v>1207.1600000000001</v>
      </c>
      <c r="N804">
        <v>8450.1200000000008</v>
      </c>
      <c r="O804" t="s">
        <v>29</v>
      </c>
      <c r="P804" s="2" t="s">
        <v>30</v>
      </c>
      <c r="Q804" s="2" t="s">
        <v>24</v>
      </c>
    </row>
    <row r="805" spans="1:17" hidden="1" x14ac:dyDescent="0.3">
      <c r="A805">
        <v>202401074</v>
      </c>
      <c r="B805" s="1">
        <v>45653</v>
      </c>
      <c r="C805">
        <v>2024</v>
      </c>
      <c r="D805">
        <v>4</v>
      </c>
      <c r="E805">
        <v>12</v>
      </c>
      <c r="F805">
        <v>37</v>
      </c>
      <c r="G805" s="2" t="s">
        <v>96</v>
      </c>
      <c r="H805" s="2" t="s">
        <v>62</v>
      </c>
      <c r="I805" s="2" t="s">
        <v>56</v>
      </c>
      <c r="J805" s="2" t="s">
        <v>57</v>
      </c>
      <c r="K805" s="2" t="s">
        <v>51</v>
      </c>
      <c r="L805">
        <v>13</v>
      </c>
      <c r="M805">
        <v>1615.9</v>
      </c>
      <c r="N805">
        <v>21006.7</v>
      </c>
      <c r="O805" t="s">
        <v>22</v>
      </c>
      <c r="P805" s="2" t="s">
        <v>43</v>
      </c>
      <c r="Q805" s="2" t="s">
        <v>24</v>
      </c>
    </row>
    <row r="806" spans="1:17" hidden="1" x14ac:dyDescent="0.3">
      <c r="A806">
        <v>202400575</v>
      </c>
      <c r="B806" s="1">
        <v>45387</v>
      </c>
      <c r="C806">
        <v>2024</v>
      </c>
      <c r="D806">
        <v>2</v>
      </c>
      <c r="E806">
        <v>4</v>
      </c>
      <c r="F806">
        <v>72</v>
      </c>
      <c r="G806" s="2" t="s">
        <v>100</v>
      </c>
      <c r="H806" s="2" t="s">
        <v>140</v>
      </c>
      <c r="I806" s="2" t="s">
        <v>33</v>
      </c>
      <c r="J806" s="2" t="s">
        <v>34</v>
      </c>
      <c r="K806" s="2" t="s">
        <v>58</v>
      </c>
      <c r="L806">
        <v>13</v>
      </c>
      <c r="M806">
        <v>30.72</v>
      </c>
      <c r="N806">
        <v>399.36</v>
      </c>
      <c r="O806" t="s">
        <v>22</v>
      </c>
      <c r="P806" s="2" t="s">
        <v>43</v>
      </c>
      <c r="Q806" s="2" t="s">
        <v>24</v>
      </c>
    </row>
    <row r="807" spans="1:17" x14ac:dyDescent="0.3">
      <c r="A807">
        <v>202400698</v>
      </c>
      <c r="B807" s="1">
        <v>45350</v>
      </c>
      <c r="C807">
        <v>2024</v>
      </c>
      <c r="D807">
        <v>1</v>
      </c>
      <c r="E807">
        <v>2</v>
      </c>
      <c r="F807">
        <v>8</v>
      </c>
      <c r="G807" s="2" t="s">
        <v>63</v>
      </c>
      <c r="H807" s="2" t="s">
        <v>26</v>
      </c>
      <c r="I807" s="2" t="s">
        <v>54</v>
      </c>
      <c r="J807" s="2" t="s">
        <v>20</v>
      </c>
      <c r="K807" s="2" t="s">
        <v>71</v>
      </c>
      <c r="L807">
        <v>5</v>
      </c>
      <c r="M807">
        <v>1659.71</v>
      </c>
      <c r="N807">
        <v>8298.5499999999993</v>
      </c>
      <c r="O807" t="s">
        <v>29</v>
      </c>
      <c r="P807" s="2" t="s">
        <v>48</v>
      </c>
      <c r="Q807" s="2" t="s">
        <v>24</v>
      </c>
    </row>
    <row r="808" spans="1:17" hidden="1" x14ac:dyDescent="0.3">
      <c r="A808">
        <v>202400665</v>
      </c>
      <c r="B808" s="1">
        <v>45470</v>
      </c>
      <c r="C808">
        <v>2024</v>
      </c>
      <c r="D808">
        <v>2</v>
      </c>
      <c r="E808">
        <v>6</v>
      </c>
      <c r="F808">
        <v>25</v>
      </c>
      <c r="G808" s="2" t="s">
        <v>117</v>
      </c>
      <c r="H808" s="2" t="s">
        <v>26</v>
      </c>
      <c r="I808" s="2" t="s">
        <v>27</v>
      </c>
      <c r="J808" s="2" t="s">
        <v>20</v>
      </c>
      <c r="K808" s="2" t="s">
        <v>70</v>
      </c>
      <c r="L808">
        <v>1</v>
      </c>
      <c r="M808">
        <v>476.84</v>
      </c>
      <c r="N808">
        <v>476.84</v>
      </c>
      <c r="O808" t="s">
        <v>36</v>
      </c>
      <c r="P808" s="2" t="s">
        <v>23</v>
      </c>
      <c r="Q808" s="2" t="s">
        <v>45</v>
      </c>
    </row>
    <row r="809" spans="1:17" hidden="1" x14ac:dyDescent="0.3">
      <c r="A809">
        <v>202400051</v>
      </c>
      <c r="B809" s="1">
        <v>45414</v>
      </c>
      <c r="C809">
        <v>2024</v>
      </c>
      <c r="D809">
        <v>2</v>
      </c>
      <c r="E809">
        <v>5</v>
      </c>
      <c r="F809">
        <v>26</v>
      </c>
      <c r="G809" s="2" t="s">
        <v>89</v>
      </c>
      <c r="H809" s="2" t="s">
        <v>62</v>
      </c>
      <c r="I809" s="2" t="s">
        <v>67</v>
      </c>
      <c r="J809" s="2" t="s">
        <v>20</v>
      </c>
      <c r="K809" s="2" t="s">
        <v>52</v>
      </c>
      <c r="L809">
        <v>12</v>
      </c>
      <c r="M809">
        <v>1252.96</v>
      </c>
      <c r="N809">
        <v>15035.52</v>
      </c>
      <c r="O809" t="s">
        <v>22</v>
      </c>
      <c r="P809" s="2" t="s">
        <v>48</v>
      </c>
      <c r="Q809" s="2" t="s">
        <v>24</v>
      </c>
    </row>
    <row r="810" spans="1:17" x14ac:dyDescent="0.3">
      <c r="A810">
        <v>202400727</v>
      </c>
      <c r="B810" s="1">
        <v>45371</v>
      </c>
      <c r="C810">
        <v>2024</v>
      </c>
      <c r="D810">
        <v>1</v>
      </c>
      <c r="E810">
        <v>3</v>
      </c>
      <c r="F810">
        <v>6</v>
      </c>
      <c r="G810" s="2" t="s">
        <v>55</v>
      </c>
      <c r="H810" s="2" t="s">
        <v>26</v>
      </c>
      <c r="I810" s="2" t="s">
        <v>56</v>
      </c>
      <c r="J810" s="2" t="s">
        <v>57</v>
      </c>
      <c r="K810" s="2" t="s">
        <v>58</v>
      </c>
      <c r="L810">
        <v>13</v>
      </c>
      <c r="M810">
        <v>1604.65</v>
      </c>
      <c r="N810">
        <v>20860.45</v>
      </c>
      <c r="O810" t="s">
        <v>22</v>
      </c>
      <c r="P810" s="2" t="s">
        <v>43</v>
      </c>
      <c r="Q810" s="2" t="s">
        <v>24</v>
      </c>
    </row>
    <row r="811" spans="1:17" hidden="1" x14ac:dyDescent="0.3">
      <c r="A811">
        <v>202400800</v>
      </c>
      <c r="B811" s="1">
        <v>45599</v>
      </c>
      <c r="C811">
        <v>2024</v>
      </c>
      <c r="D811">
        <v>4</v>
      </c>
      <c r="E811">
        <v>11</v>
      </c>
      <c r="F811">
        <v>6</v>
      </c>
      <c r="G811" s="2" t="s">
        <v>55</v>
      </c>
      <c r="H811" s="2" t="s">
        <v>26</v>
      </c>
      <c r="I811" s="2" t="s">
        <v>56</v>
      </c>
      <c r="J811" s="2" t="s">
        <v>57</v>
      </c>
      <c r="K811" s="2" t="s">
        <v>21</v>
      </c>
      <c r="L811">
        <v>1</v>
      </c>
      <c r="M811">
        <v>1816.31</v>
      </c>
      <c r="N811">
        <v>1816.31</v>
      </c>
      <c r="O811" t="s">
        <v>36</v>
      </c>
      <c r="P811" s="2" t="s">
        <v>43</v>
      </c>
      <c r="Q811" s="2" t="s">
        <v>24</v>
      </c>
    </row>
    <row r="812" spans="1:17" hidden="1" x14ac:dyDescent="0.3">
      <c r="A812">
        <v>202400834</v>
      </c>
      <c r="B812" s="1">
        <v>45397</v>
      </c>
      <c r="C812">
        <v>2024</v>
      </c>
      <c r="D812">
        <v>2</v>
      </c>
      <c r="E812">
        <v>4</v>
      </c>
      <c r="F812">
        <v>4</v>
      </c>
      <c r="G812" s="2" t="s">
        <v>110</v>
      </c>
      <c r="H812" s="2" t="s">
        <v>69</v>
      </c>
      <c r="I812" s="2" t="s">
        <v>78</v>
      </c>
      <c r="J812" s="2" t="s">
        <v>75</v>
      </c>
      <c r="K812" s="2" t="s">
        <v>52</v>
      </c>
      <c r="L812">
        <v>8</v>
      </c>
      <c r="M812">
        <v>1818.74</v>
      </c>
      <c r="N812">
        <v>14549.92</v>
      </c>
      <c r="O812" t="s">
        <v>29</v>
      </c>
      <c r="P812" s="2" t="s">
        <v>43</v>
      </c>
      <c r="Q812" s="2" t="s">
        <v>40</v>
      </c>
    </row>
    <row r="813" spans="1:17" hidden="1" x14ac:dyDescent="0.3">
      <c r="A813">
        <v>202400354</v>
      </c>
      <c r="B813" s="1">
        <v>45626</v>
      </c>
      <c r="C813">
        <v>2024</v>
      </c>
      <c r="D813">
        <v>4</v>
      </c>
      <c r="E813">
        <v>11</v>
      </c>
      <c r="F813">
        <v>71</v>
      </c>
      <c r="G813" s="2" t="s">
        <v>80</v>
      </c>
      <c r="H813" s="2" t="s">
        <v>18</v>
      </c>
      <c r="I813" s="2" t="s">
        <v>65</v>
      </c>
      <c r="J813" s="2" t="s">
        <v>34</v>
      </c>
      <c r="K813" s="2" t="s">
        <v>35</v>
      </c>
      <c r="L813">
        <v>9</v>
      </c>
      <c r="M813">
        <v>1021.95</v>
      </c>
      <c r="N813">
        <v>9197.5500000000011</v>
      </c>
      <c r="O813" t="s">
        <v>29</v>
      </c>
      <c r="P813" s="2" t="s">
        <v>30</v>
      </c>
      <c r="Q813" s="2" t="s">
        <v>24</v>
      </c>
    </row>
    <row r="814" spans="1:17" hidden="1" x14ac:dyDescent="0.3">
      <c r="A814">
        <v>202401164</v>
      </c>
      <c r="B814" s="1">
        <v>45420</v>
      </c>
      <c r="C814">
        <v>2024</v>
      </c>
      <c r="D814">
        <v>2</v>
      </c>
      <c r="E814">
        <v>5</v>
      </c>
      <c r="F814">
        <v>24</v>
      </c>
      <c r="G814" s="2" t="s">
        <v>17</v>
      </c>
      <c r="H814" s="2" t="s">
        <v>26</v>
      </c>
      <c r="I814" s="2" t="s">
        <v>56</v>
      </c>
      <c r="J814" s="2" t="s">
        <v>57</v>
      </c>
      <c r="K814" s="2" t="s">
        <v>47</v>
      </c>
      <c r="L814">
        <v>11</v>
      </c>
      <c r="M814">
        <v>247.47</v>
      </c>
      <c r="N814">
        <v>2722.17</v>
      </c>
      <c r="O814" t="s">
        <v>22</v>
      </c>
      <c r="P814" s="2" t="s">
        <v>48</v>
      </c>
      <c r="Q814" s="2" t="s">
        <v>24</v>
      </c>
    </row>
    <row r="815" spans="1:17" hidden="1" x14ac:dyDescent="0.3">
      <c r="A815">
        <v>202400143</v>
      </c>
      <c r="B815" s="1">
        <v>45642</v>
      </c>
      <c r="C815">
        <v>2024</v>
      </c>
      <c r="D815">
        <v>4</v>
      </c>
      <c r="E815">
        <v>12</v>
      </c>
      <c r="F815">
        <v>1</v>
      </c>
      <c r="G815" s="2" t="s">
        <v>17</v>
      </c>
      <c r="H815" s="2" t="s">
        <v>26</v>
      </c>
      <c r="I815" s="2" t="s">
        <v>78</v>
      </c>
      <c r="J815" s="2" t="s">
        <v>75</v>
      </c>
      <c r="K815" s="2" t="s">
        <v>59</v>
      </c>
      <c r="L815">
        <v>9</v>
      </c>
      <c r="M815">
        <v>1634.56</v>
      </c>
      <c r="N815">
        <v>14711.039999999999</v>
      </c>
      <c r="O815" t="s">
        <v>29</v>
      </c>
      <c r="P815" s="2" t="s">
        <v>48</v>
      </c>
      <c r="Q815" s="2" t="s">
        <v>24</v>
      </c>
    </row>
    <row r="816" spans="1:17" hidden="1" x14ac:dyDescent="0.3">
      <c r="A816">
        <v>202400471</v>
      </c>
      <c r="B816" s="1">
        <v>45498</v>
      </c>
      <c r="C816">
        <v>2024</v>
      </c>
      <c r="D816">
        <v>3</v>
      </c>
      <c r="E816">
        <v>7</v>
      </c>
      <c r="F816">
        <v>16</v>
      </c>
      <c r="G816" s="2" t="s">
        <v>91</v>
      </c>
      <c r="H816" s="2" t="s">
        <v>18</v>
      </c>
      <c r="I816" s="2" t="s">
        <v>65</v>
      </c>
      <c r="J816" s="2" t="s">
        <v>34</v>
      </c>
      <c r="K816" s="2" t="s">
        <v>58</v>
      </c>
      <c r="L816">
        <v>3</v>
      </c>
      <c r="M816">
        <v>255.4</v>
      </c>
      <c r="N816">
        <v>766.2</v>
      </c>
      <c r="O816" t="s">
        <v>29</v>
      </c>
      <c r="P816" s="2" t="s">
        <v>43</v>
      </c>
      <c r="Q816" s="2" t="s">
        <v>24</v>
      </c>
    </row>
    <row r="817" spans="1:17" x14ac:dyDescent="0.3">
      <c r="A817">
        <v>202400654</v>
      </c>
      <c r="B817" s="1">
        <v>45326</v>
      </c>
      <c r="C817">
        <v>2024</v>
      </c>
      <c r="D817">
        <v>1</v>
      </c>
      <c r="E817">
        <v>2</v>
      </c>
      <c r="F817">
        <v>13</v>
      </c>
      <c r="G817" s="2" t="s">
        <v>72</v>
      </c>
      <c r="H817" s="2" t="s">
        <v>69</v>
      </c>
      <c r="I817" s="2" t="s">
        <v>38</v>
      </c>
      <c r="J817" s="2" t="s">
        <v>20</v>
      </c>
      <c r="K817" s="2" t="s">
        <v>21</v>
      </c>
      <c r="L817">
        <v>0</v>
      </c>
      <c r="M817">
        <v>1563.62</v>
      </c>
      <c r="N817">
        <v>0</v>
      </c>
      <c r="O817" t="s">
        <v>36</v>
      </c>
      <c r="P817" s="2" t="s">
        <v>43</v>
      </c>
      <c r="Q817" s="2" t="s">
        <v>31</v>
      </c>
    </row>
    <row r="818" spans="1:17" hidden="1" x14ac:dyDescent="0.3">
      <c r="A818">
        <v>202400400</v>
      </c>
      <c r="B818" s="1">
        <v>45544</v>
      </c>
      <c r="C818">
        <v>2024</v>
      </c>
      <c r="D818">
        <v>3</v>
      </c>
      <c r="E818">
        <v>9</v>
      </c>
      <c r="F818">
        <v>65</v>
      </c>
      <c r="G818" s="2" t="s">
        <v>112</v>
      </c>
      <c r="H818" s="2" t="s">
        <v>69</v>
      </c>
      <c r="I818" s="2" t="s">
        <v>19</v>
      </c>
      <c r="J818" s="2" t="s">
        <v>20</v>
      </c>
      <c r="K818" s="2" t="s">
        <v>52</v>
      </c>
      <c r="L818">
        <v>13</v>
      </c>
      <c r="M818">
        <v>885.25</v>
      </c>
      <c r="N818">
        <v>11508.25</v>
      </c>
      <c r="O818" t="s">
        <v>22</v>
      </c>
      <c r="P818" s="2" t="s">
        <v>43</v>
      </c>
      <c r="Q818" s="2" t="s">
        <v>24</v>
      </c>
    </row>
    <row r="819" spans="1:17" x14ac:dyDescent="0.3">
      <c r="A819">
        <v>202400919</v>
      </c>
      <c r="B819" s="1">
        <v>45321</v>
      </c>
      <c r="C819">
        <v>2024</v>
      </c>
      <c r="D819">
        <v>1</v>
      </c>
      <c r="E819">
        <v>1</v>
      </c>
      <c r="F819">
        <v>13</v>
      </c>
      <c r="G819" s="2" t="s">
        <v>72</v>
      </c>
      <c r="H819" s="2" t="s">
        <v>69</v>
      </c>
      <c r="I819" s="2" t="s">
        <v>38</v>
      </c>
      <c r="J819" s="2" t="s">
        <v>20</v>
      </c>
      <c r="K819" s="2" t="s">
        <v>60</v>
      </c>
      <c r="L819">
        <v>7</v>
      </c>
      <c r="M819">
        <v>1854</v>
      </c>
      <c r="N819">
        <v>12978</v>
      </c>
      <c r="O819" t="s">
        <v>29</v>
      </c>
      <c r="P819" s="2" t="s">
        <v>43</v>
      </c>
      <c r="Q819" s="2" t="s">
        <v>31</v>
      </c>
    </row>
    <row r="820" spans="1:17" hidden="1" x14ac:dyDescent="0.3">
      <c r="A820">
        <v>202400937</v>
      </c>
      <c r="B820" s="1">
        <v>45554</v>
      </c>
      <c r="C820">
        <v>2024</v>
      </c>
      <c r="D820">
        <v>3</v>
      </c>
      <c r="E820">
        <v>9</v>
      </c>
      <c r="F820">
        <v>50</v>
      </c>
      <c r="G820" s="2" t="s">
        <v>37</v>
      </c>
      <c r="H820" s="2" t="s">
        <v>62</v>
      </c>
      <c r="I820" s="2" t="s">
        <v>38</v>
      </c>
      <c r="J820" s="2" t="s">
        <v>20</v>
      </c>
      <c r="K820" s="2" t="s">
        <v>70</v>
      </c>
      <c r="L820">
        <v>12</v>
      </c>
      <c r="M820">
        <v>50.39</v>
      </c>
      <c r="N820">
        <v>604.68000000000006</v>
      </c>
      <c r="O820" t="s">
        <v>22</v>
      </c>
      <c r="P820" s="2" t="s">
        <v>48</v>
      </c>
      <c r="Q820" s="2" t="s">
        <v>41</v>
      </c>
    </row>
    <row r="821" spans="1:17" x14ac:dyDescent="0.3">
      <c r="A821">
        <v>202400321</v>
      </c>
      <c r="B821" s="1">
        <v>45354</v>
      </c>
      <c r="C821">
        <v>2024</v>
      </c>
      <c r="D821">
        <v>1</v>
      </c>
      <c r="E821">
        <v>3</v>
      </c>
      <c r="F821">
        <v>47</v>
      </c>
      <c r="G821" s="2" t="s">
        <v>120</v>
      </c>
      <c r="H821" s="2" t="s">
        <v>140</v>
      </c>
      <c r="I821" s="2" t="s">
        <v>38</v>
      </c>
      <c r="J821" s="2" t="s">
        <v>20</v>
      </c>
      <c r="K821" s="2" t="s">
        <v>59</v>
      </c>
      <c r="L821">
        <v>3</v>
      </c>
      <c r="M821">
        <v>503.81</v>
      </c>
      <c r="N821">
        <v>1511.43</v>
      </c>
      <c r="O821" t="s">
        <v>29</v>
      </c>
      <c r="P821" s="2" t="s">
        <v>30</v>
      </c>
      <c r="Q821" s="2" t="s">
        <v>24</v>
      </c>
    </row>
    <row r="822" spans="1:17" hidden="1" x14ac:dyDescent="0.3">
      <c r="A822">
        <v>202400020</v>
      </c>
      <c r="B822" s="1">
        <v>45434</v>
      </c>
      <c r="C822">
        <v>2024</v>
      </c>
      <c r="D822">
        <v>2</v>
      </c>
      <c r="E822">
        <v>5</v>
      </c>
      <c r="F822">
        <v>55</v>
      </c>
      <c r="G822" s="2" t="s">
        <v>87</v>
      </c>
      <c r="H822" s="2" t="s">
        <v>69</v>
      </c>
      <c r="I822" s="2" t="s">
        <v>85</v>
      </c>
      <c r="J822" s="2" t="s">
        <v>57</v>
      </c>
      <c r="K822" s="2" t="s">
        <v>35</v>
      </c>
      <c r="L822">
        <v>13</v>
      </c>
      <c r="M822">
        <v>1794.06</v>
      </c>
      <c r="N822">
        <v>23322.78</v>
      </c>
      <c r="O822" t="s">
        <v>22</v>
      </c>
      <c r="P822" s="2" t="s">
        <v>30</v>
      </c>
      <c r="Q822" s="2" t="s">
        <v>24</v>
      </c>
    </row>
    <row r="823" spans="1:17" hidden="1" x14ac:dyDescent="0.3">
      <c r="A823">
        <v>202400685</v>
      </c>
      <c r="B823" s="1">
        <v>45596</v>
      </c>
      <c r="C823">
        <v>2024</v>
      </c>
      <c r="D823">
        <v>4</v>
      </c>
      <c r="E823">
        <v>10</v>
      </c>
      <c r="F823">
        <v>41</v>
      </c>
      <c r="G823" s="2" t="s">
        <v>99</v>
      </c>
      <c r="H823" s="2" t="s">
        <v>18</v>
      </c>
      <c r="I823" s="2" t="s">
        <v>78</v>
      </c>
      <c r="J823" s="2" t="s">
        <v>75</v>
      </c>
      <c r="K823" s="2" t="s">
        <v>39</v>
      </c>
      <c r="L823">
        <v>8</v>
      </c>
      <c r="M823">
        <v>1352.45</v>
      </c>
      <c r="N823">
        <v>10819.6</v>
      </c>
      <c r="O823" t="s">
        <v>29</v>
      </c>
      <c r="P823" s="2" t="s">
        <v>30</v>
      </c>
      <c r="Q823" s="2" t="s">
        <v>24</v>
      </c>
    </row>
    <row r="824" spans="1:17" hidden="1" x14ac:dyDescent="0.3">
      <c r="A824">
        <v>202400036</v>
      </c>
      <c r="B824" s="1">
        <v>45437</v>
      </c>
      <c r="C824">
        <v>2024</v>
      </c>
      <c r="D824">
        <v>2</v>
      </c>
      <c r="E824">
        <v>5</v>
      </c>
      <c r="F824">
        <v>36</v>
      </c>
      <c r="G824" s="2" t="s">
        <v>123</v>
      </c>
      <c r="H824" s="2" t="s">
        <v>62</v>
      </c>
      <c r="I824" s="2" t="s">
        <v>54</v>
      </c>
      <c r="J824" s="2" t="s">
        <v>20</v>
      </c>
      <c r="K824" s="2" t="s">
        <v>60</v>
      </c>
      <c r="L824">
        <v>3</v>
      </c>
      <c r="M824">
        <v>504.46</v>
      </c>
      <c r="N824">
        <v>1513.3799999999999</v>
      </c>
      <c r="O824" t="s">
        <v>29</v>
      </c>
      <c r="P824" s="2" t="s">
        <v>43</v>
      </c>
      <c r="Q824" s="2" t="s">
        <v>24</v>
      </c>
    </row>
    <row r="825" spans="1:17" hidden="1" x14ac:dyDescent="0.3">
      <c r="A825">
        <v>202400825</v>
      </c>
      <c r="B825" s="1">
        <v>45412</v>
      </c>
      <c r="C825">
        <v>2024</v>
      </c>
      <c r="D825">
        <v>2</v>
      </c>
      <c r="E825">
        <v>4</v>
      </c>
      <c r="F825">
        <v>46</v>
      </c>
      <c r="G825" s="2" t="s">
        <v>88</v>
      </c>
      <c r="H825" s="2" t="s">
        <v>26</v>
      </c>
      <c r="I825" s="2" t="s">
        <v>85</v>
      </c>
      <c r="J825" s="2" t="s">
        <v>57</v>
      </c>
      <c r="K825" s="2" t="s">
        <v>51</v>
      </c>
      <c r="L825">
        <v>11</v>
      </c>
      <c r="M825">
        <v>1615.86</v>
      </c>
      <c r="N825">
        <v>17774.46</v>
      </c>
      <c r="O825" t="s">
        <v>22</v>
      </c>
      <c r="P825" s="2" t="s">
        <v>48</v>
      </c>
      <c r="Q825" s="2" t="s">
        <v>24</v>
      </c>
    </row>
    <row r="826" spans="1:17" hidden="1" x14ac:dyDescent="0.3">
      <c r="A826">
        <v>202400506</v>
      </c>
      <c r="B826" s="1">
        <v>45453</v>
      </c>
      <c r="C826">
        <v>2024</v>
      </c>
      <c r="D826">
        <v>2</v>
      </c>
      <c r="E826">
        <v>6</v>
      </c>
      <c r="F826">
        <v>5</v>
      </c>
      <c r="G826" s="2" t="s">
        <v>121</v>
      </c>
      <c r="H826" s="2" t="s">
        <v>62</v>
      </c>
      <c r="I826" s="2" t="s">
        <v>27</v>
      </c>
      <c r="J826" s="2" t="s">
        <v>20</v>
      </c>
      <c r="K826" s="2" t="s">
        <v>97</v>
      </c>
      <c r="L826">
        <v>7</v>
      </c>
      <c r="M826">
        <v>111.22</v>
      </c>
      <c r="N826">
        <v>778.54</v>
      </c>
      <c r="O826" t="s">
        <v>29</v>
      </c>
      <c r="P826" s="2" t="s">
        <v>48</v>
      </c>
      <c r="Q826" s="2" t="s">
        <v>40</v>
      </c>
    </row>
    <row r="827" spans="1:17" hidden="1" x14ac:dyDescent="0.3">
      <c r="A827">
        <v>202400828</v>
      </c>
      <c r="B827" s="1">
        <v>45573</v>
      </c>
      <c r="C827">
        <v>2024</v>
      </c>
      <c r="D827">
        <v>4</v>
      </c>
      <c r="E827">
        <v>10</v>
      </c>
      <c r="F827">
        <v>52</v>
      </c>
      <c r="G827" s="2" t="s">
        <v>105</v>
      </c>
      <c r="H827" s="2" t="s">
        <v>62</v>
      </c>
      <c r="I827" s="2" t="s">
        <v>78</v>
      </c>
      <c r="J827" s="2" t="s">
        <v>75</v>
      </c>
      <c r="K827" s="2" t="s">
        <v>59</v>
      </c>
      <c r="L827">
        <v>6</v>
      </c>
      <c r="M827">
        <v>249.57</v>
      </c>
      <c r="N827">
        <v>1497.42</v>
      </c>
      <c r="O827" t="s">
        <v>29</v>
      </c>
      <c r="P827" s="2" t="s">
        <v>48</v>
      </c>
      <c r="Q827" s="2" t="s">
        <v>40</v>
      </c>
    </row>
    <row r="828" spans="1:17" hidden="1" x14ac:dyDescent="0.3">
      <c r="A828">
        <v>202401082</v>
      </c>
      <c r="B828" s="1">
        <v>45613</v>
      </c>
      <c r="C828">
        <v>2024</v>
      </c>
      <c r="D828">
        <v>4</v>
      </c>
      <c r="E828">
        <v>11</v>
      </c>
      <c r="F828">
        <v>11</v>
      </c>
      <c r="G828" s="2" t="s">
        <v>66</v>
      </c>
      <c r="H828" s="2" t="s">
        <v>18</v>
      </c>
      <c r="I828" s="2" t="s">
        <v>67</v>
      </c>
      <c r="J828" s="2" t="s">
        <v>20</v>
      </c>
      <c r="K828" s="2" t="s">
        <v>50</v>
      </c>
      <c r="L828">
        <v>2</v>
      </c>
      <c r="M828">
        <v>1539.44</v>
      </c>
      <c r="N828">
        <v>3078.88</v>
      </c>
      <c r="O828" t="s">
        <v>36</v>
      </c>
      <c r="P828" s="2" t="s">
        <v>48</v>
      </c>
      <c r="Q828" s="2" t="s">
        <v>24</v>
      </c>
    </row>
    <row r="829" spans="1:17" x14ac:dyDescent="0.3">
      <c r="A829">
        <v>202400408</v>
      </c>
      <c r="B829" s="1">
        <v>45372</v>
      </c>
      <c r="C829">
        <v>2024</v>
      </c>
      <c r="D829">
        <v>1</v>
      </c>
      <c r="E829">
        <v>3</v>
      </c>
      <c r="F829">
        <v>51</v>
      </c>
      <c r="G829" s="2" t="s">
        <v>132</v>
      </c>
      <c r="H829" s="2" t="s">
        <v>62</v>
      </c>
      <c r="I829" s="2" t="s">
        <v>78</v>
      </c>
      <c r="J829" s="2" t="s">
        <v>75</v>
      </c>
      <c r="K829" s="2" t="s">
        <v>58</v>
      </c>
      <c r="L829">
        <v>1</v>
      </c>
      <c r="M829">
        <v>1218.99</v>
      </c>
      <c r="N829">
        <v>1218.99</v>
      </c>
      <c r="O829" t="s">
        <v>36</v>
      </c>
      <c r="P829" s="2" t="s">
        <v>48</v>
      </c>
      <c r="Q829" s="2" t="s">
        <v>24</v>
      </c>
    </row>
    <row r="830" spans="1:17" hidden="1" x14ac:dyDescent="0.3">
      <c r="A830">
        <v>202400818</v>
      </c>
      <c r="B830" s="1">
        <v>45502</v>
      </c>
      <c r="C830">
        <v>2024</v>
      </c>
      <c r="D830">
        <v>3</v>
      </c>
      <c r="E830">
        <v>7</v>
      </c>
      <c r="F830">
        <v>42</v>
      </c>
      <c r="G830" s="2" t="s">
        <v>46</v>
      </c>
      <c r="H830" s="2" t="s">
        <v>26</v>
      </c>
      <c r="I830" s="2" t="s">
        <v>38</v>
      </c>
      <c r="J830" s="2" t="s">
        <v>20</v>
      </c>
      <c r="K830" s="2" t="s">
        <v>21</v>
      </c>
      <c r="L830">
        <v>6</v>
      </c>
      <c r="M830">
        <v>1587.33</v>
      </c>
      <c r="N830">
        <v>9523.98</v>
      </c>
      <c r="O830" t="s">
        <v>29</v>
      </c>
      <c r="P830" s="2" t="s">
        <v>48</v>
      </c>
      <c r="Q830" s="2" t="s">
        <v>31</v>
      </c>
    </row>
    <row r="831" spans="1:17" hidden="1" x14ac:dyDescent="0.3">
      <c r="A831">
        <v>202400538</v>
      </c>
      <c r="B831" s="1">
        <v>45644</v>
      </c>
      <c r="C831">
        <v>2024</v>
      </c>
      <c r="D831">
        <v>4</v>
      </c>
      <c r="E831">
        <v>12</v>
      </c>
      <c r="F831">
        <v>37</v>
      </c>
      <c r="G831" s="2" t="s">
        <v>96</v>
      </c>
      <c r="H831" s="2" t="s">
        <v>62</v>
      </c>
      <c r="I831" s="2" t="s">
        <v>56</v>
      </c>
      <c r="J831" s="2" t="s">
        <v>57</v>
      </c>
      <c r="K831" s="2" t="s">
        <v>35</v>
      </c>
      <c r="L831">
        <v>10</v>
      </c>
      <c r="M831">
        <v>1445.69</v>
      </c>
      <c r="N831">
        <v>14456.900000000001</v>
      </c>
      <c r="O831" t="s">
        <v>22</v>
      </c>
      <c r="P831" s="2" t="s">
        <v>43</v>
      </c>
      <c r="Q831" s="2" t="s">
        <v>24</v>
      </c>
    </row>
    <row r="832" spans="1:17" x14ac:dyDescent="0.3">
      <c r="A832">
        <v>202400759</v>
      </c>
      <c r="B832" s="1">
        <v>45302</v>
      </c>
      <c r="C832">
        <v>2024</v>
      </c>
      <c r="D832">
        <v>1</v>
      </c>
      <c r="E832">
        <v>1</v>
      </c>
      <c r="F832">
        <v>33</v>
      </c>
      <c r="G832" s="2" t="s">
        <v>133</v>
      </c>
      <c r="H832" s="2" t="s">
        <v>140</v>
      </c>
      <c r="I832" s="2" t="s">
        <v>33</v>
      </c>
      <c r="J832" s="2" t="s">
        <v>34</v>
      </c>
      <c r="K832" s="2" t="s">
        <v>21</v>
      </c>
      <c r="L832">
        <v>10</v>
      </c>
      <c r="M832">
        <v>1750.52</v>
      </c>
      <c r="N832">
        <v>17505.2</v>
      </c>
      <c r="O832" t="s">
        <v>22</v>
      </c>
      <c r="P832" s="2" t="s">
        <v>43</v>
      </c>
      <c r="Q832" s="2" t="s">
        <v>24</v>
      </c>
    </row>
    <row r="833" spans="1:17" hidden="1" x14ac:dyDescent="0.3">
      <c r="A833">
        <v>202401080</v>
      </c>
      <c r="B833" s="1">
        <v>45628</v>
      </c>
      <c r="C833">
        <v>2024</v>
      </c>
      <c r="D833">
        <v>4</v>
      </c>
      <c r="E833">
        <v>12</v>
      </c>
      <c r="F833">
        <v>9</v>
      </c>
      <c r="G833" s="2" t="s">
        <v>44</v>
      </c>
      <c r="H833" s="2" t="s">
        <v>62</v>
      </c>
      <c r="I833" s="2" t="s">
        <v>78</v>
      </c>
      <c r="J833" s="2" t="s">
        <v>75</v>
      </c>
      <c r="K833" s="2" t="s">
        <v>51</v>
      </c>
      <c r="L833">
        <v>4</v>
      </c>
      <c r="M833">
        <v>1675.95</v>
      </c>
      <c r="N833">
        <v>6703.8</v>
      </c>
      <c r="O833" t="s">
        <v>29</v>
      </c>
      <c r="P833" s="2" t="s">
        <v>48</v>
      </c>
      <c r="Q833" s="2" t="s">
        <v>24</v>
      </c>
    </row>
    <row r="834" spans="1:17" hidden="1" x14ac:dyDescent="0.3">
      <c r="A834">
        <v>202400975</v>
      </c>
      <c r="B834" s="1">
        <v>45532</v>
      </c>
      <c r="C834">
        <v>2024</v>
      </c>
      <c r="D834">
        <v>3</v>
      </c>
      <c r="E834">
        <v>8</v>
      </c>
      <c r="F834">
        <v>3</v>
      </c>
      <c r="G834" s="2" t="s">
        <v>44</v>
      </c>
      <c r="H834" s="2" t="s">
        <v>26</v>
      </c>
      <c r="I834" s="2" t="s">
        <v>38</v>
      </c>
      <c r="J834" s="2" t="s">
        <v>20</v>
      </c>
      <c r="K834" s="2" t="s">
        <v>70</v>
      </c>
      <c r="L834">
        <v>8</v>
      </c>
      <c r="M834">
        <v>1213.27</v>
      </c>
      <c r="N834">
        <v>9706.16</v>
      </c>
      <c r="O834" t="s">
        <v>29</v>
      </c>
      <c r="P834" s="2" t="s">
        <v>43</v>
      </c>
      <c r="Q834" s="2" t="s">
        <v>41</v>
      </c>
    </row>
    <row r="835" spans="1:17" hidden="1" x14ac:dyDescent="0.3">
      <c r="A835">
        <v>202400039</v>
      </c>
      <c r="B835" s="1">
        <v>45481</v>
      </c>
      <c r="C835">
        <v>2024</v>
      </c>
      <c r="D835">
        <v>3</v>
      </c>
      <c r="E835">
        <v>7</v>
      </c>
      <c r="F835">
        <v>3</v>
      </c>
      <c r="G835" s="2" t="s">
        <v>44</v>
      </c>
      <c r="H835" s="2" t="s">
        <v>26</v>
      </c>
      <c r="I835" s="2" t="s">
        <v>38</v>
      </c>
      <c r="J835" s="2" t="s">
        <v>20</v>
      </c>
      <c r="K835" s="2" t="s">
        <v>21</v>
      </c>
      <c r="L835">
        <v>8</v>
      </c>
      <c r="M835">
        <v>1856.1</v>
      </c>
      <c r="N835">
        <v>14848.8</v>
      </c>
      <c r="O835" t="s">
        <v>29</v>
      </c>
      <c r="P835" s="2" t="s">
        <v>43</v>
      </c>
      <c r="Q835" s="2" t="s">
        <v>24</v>
      </c>
    </row>
    <row r="836" spans="1:17" hidden="1" x14ac:dyDescent="0.3">
      <c r="A836">
        <v>202400176</v>
      </c>
      <c r="B836" s="1">
        <v>45384</v>
      </c>
      <c r="C836">
        <v>2024</v>
      </c>
      <c r="D836">
        <v>2</v>
      </c>
      <c r="E836">
        <v>4</v>
      </c>
      <c r="F836">
        <v>25</v>
      </c>
      <c r="G836" s="2" t="s">
        <v>117</v>
      </c>
      <c r="H836" s="2" t="s">
        <v>26</v>
      </c>
      <c r="I836" s="2" t="s">
        <v>27</v>
      </c>
      <c r="J836" s="2" t="s">
        <v>20</v>
      </c>
      <c r="K836" s="2" t="s">
        <v>70</v>
      </c>
      <c r="L836">
        <v>12</v>
      </c>
      <c r="M836">
        <v>1963.79</v>
      </c>
      <c r="N836">
        <v>23565.48</v>
      </c>
      <c r="O836" t="s">
        <v>22</v>
      </c>
      <c r="P836" s="2" t="s">
        <v>30</v>
      </c>
      <c r="Q836" s="2" t="s">
        <v>31</v>
      </c>
    </row>
    <row r="837" spans="1:17" hidden="1" x14ac:dyDescent="0.3">
      <c r="A837">
        <v>202400246</v>
      </c>
      <c r="B837" s="1">
        <v>45487</v>
      </c>
      <c r="C837">
        <v>2024</v>
      </c>
      <c r="D837">
        <v>3</v>
      </c>
      <c r="E837">
        <v>7</v>
      </c>
      <c r="F837">
        <v>22</v>
      </c>
      <c r="G837" s="2" t="s">
        <v>79</v>
      </c>
      <c r="H837" s="2" t="s">
        <v>18</v>
      </c>
      <c r="I837" s="2" t="s">
        <v>65</v>
      </c>
      <c r="J837" s="2" t="s">
        <v>34</v>
      </c>
      <c r="K837" s="2" t="s">
        <v>60</v>
      </c>
      <c r="L837">
        <v>11</v>
      </c>
      <c r="M837">
        <v>706.66</v>
      </c>
      <c r="N837">
        <v>7773.2599999999993</v>
      </c>
      <c r="O837" t="s">
        <v>22</v>
      </c>
      <c r="P837" s="2" t="s">
        <v>43</v>
      </c>
      <c r="Q837" s="2" t="s">
        <v>31</v>
      </c>
    </row>
    <row r="838" spans="1:17" hidden="1" x14ac:dyDescent="0.3">
      <c r="A838">
        <v>202400811</v>
      </c>
      <c r="B838" s="1">
        <v>45609</v>
      </c>
      <c r="C838">
        <v>2024</v>
      </c>
      <c r="D838">
        <v>4</v>
      </c>
      <c r="E838">
        <v>11</v>
      </c>
      <c r="F838">
        <v>29</v>
      </c>
      <c r="G838" s="2" t="s">
        <v>61</v>
      </c>
      <c r="H838" s="2" t="s">
        <v>62</v>
      </c>
      <c r="I838" s="2" t="s">
        <v>19</v>
      </c>
      <c r="J838" s="2" t="s">
        <v>20</v>
      </c>
      <c r="K838" s="2" t="s">
        <v>51</v>
      </c>
      <c r="L838">
        <v>5</v>
      </c>
      <c r="M838">
        <v>1569.55</v>
      </c>
      <c r="N838">
        <v>7847.75</v>
      </c>
      <c r="O838" t="s">
        <v>29</v>
      </c>
      <c r="P838" s="2" t="s">
        <v>48</v>
      </c>
      <c r="Q838" s="2" t="s">
        <v>24</v>
      </c>
    </row>
    <row r="839" spans="1:17" x14ac:dyDescent="0.3">
      <c r="A839">
        <v>202400985</v>
      </c>
      <c r="B839" s="1">
        <v>45307</v>
      </c>
      <c r="C839">
        <v>2024</v>
      </c>
      <c r="D839">
        <v>1</v>
      </c>
      <c r="E839">
        <v>1</v>
      </c>
      <c r="F839">
        <v>9</v>
      </c>
      <c r="G839" s="2" t="s">
        <v>44</v>
      </c>
      <c r="H839" s="2" t="s">
        <v>62</v>
      </c>
      <c r="I839" s="2" t="s">
        <v>78</v>
      </c>
      <c r="J839" s="2" t="s">
        <v>75</v>
      </c>
      <c r="K839" s="2" t="s">
        <v>70</v>
      </c>
      <c r="L839">
        <v>1</v>
      </c>
      <c r="M839">
        <v>1186.02</v>
      </c>
      <c r="N839">
        <v>1186.02</v>
      </c>
      <c r="O839" t="s">
        <v>36</v>
      </c>
      <c r="P839" s="2" t="s">
        <v>48</v>
      </c>
      <c r="Q839" s="2" t="s">
        <v>40</v>
      </c>
    </row>
    <row r="840" spans="1:17" hidden="1" x14ac:dyDescent="0.3">
      <c r="A840">
        <v>202400785</v>
      </c>
      <c r="B840" s="1">
        <v>45453</v>
      </c>
      <c r="C840">
        <v>2024</v>
      </c>
      <c r="D840">
        <v>2</v>
      </c>
      <c r="E840">
        <v>6</v>
      </c>
      <c r="F840">
        <v>38</v>
      </c>
      <c r="G840" s="2" t="s">
        <v>92</v>
      </c>
      <c r="H840" s="2" t="s">
        <v>18</v>
      </c>
      <c r="I840" s="2" t="s">
        <v>78</v>
      </c>
      <c r="J840" s="2" t="s">
        <v>75</v>
      </c>
      <c r="K840" s="2" t="s">
        <v>52</v>
      </c>
      <c r="L840">
        <v>6</v>
      </c>
      <c r="M840">
        <v>1483.22</v>
      </c>
      <c r="N840">
        <v>8899.32</v>
      </c>
      <c r="O840" t="s">
        <v>29</v>
      </c>
      <c r="P840" s="2" t="s">
        <v>48</v>
      </c>
      <c r="Q840" s="2" t="s">
        <v>24</v>
      </c>
    </row>
    <row r="841" spans="1:17" x14ac:dyDescent="0.3">
      <c r="A841">
        <v>202401197</v>
      </c>
      <c r="B841" s="1">
        <v>45294</v>
      </c>
      <c r="C841">
        <v>2024</v>
      </c>
      <c r="D841">
        <v>1</v>
      </c>
      <c r="E841">
        <v>1</v>
      </c>
      <c r="F841">
        <v>23</v>
      </c>
      <c r="G841" s="2" t="s">
        <v>86</v>
      </c>
      <c r="H841" s="2" t="s">
        <v>26</v>
      </c>
      <c r="I841" s="2" t="s">
        <v>33</v>
      </c>
      <c r="J841" s="2" t="s">
        <v>34</v>
      </c>
      <c r="K841" s="2" t="s">
        <v>51</v>
      </c>
      <c r="L841">
        <v>12</v>
      </c>
      <c r="M841">
        <v>1013.61</v>
      </c>
      <c r="N841">
        <v>12163.32</v>
      </c>
      <c r="O841" t="s">
        <v>22</v>
      </c>
      <c r="P841" s="2" t="s">
        <v>43</v>
      </c>
      <c r="Q841" s="2" t="s">
        <v>24</v>
      </c>
    </row>
    <row r="842" spans="1:17" hidden="1" x14ac:dyDescent="0.3">
      <c r="A842">
        <v>202400490</v>
      </c>
      <c r="B842" s="1">
        <v>45646</v>
      </c>
      <c r="C842">
        <v>2024</v>
      </c>
      <c r="D842">
        <v>4</v>
      </c>
      <c r="E842">
        <v>12</v>
      </c>
      <c r="F842">
        <v>1</v>
      </c>
      <c r="G842" s="2" t="s">
        <v>17</v>
      </c>
      <c r="H842" s="2" t="s">
        <v>26</v>
      </c>
      <c r="I842" s="2" t="s">
        <v>78</v>
      </c>
      <c r="J842" s="2" t="s">
        <v>75</v>
      </c>
      <c r="K842" s="2" t="s">
        <v>35</v>
      </c>
      <c r="L842">
        <v>6</v>
      </c>
      <c r="M842">
        <v>1965.29</v>
      </c>
      <c r="N842">
        <v>11791.74</v>
      </c>
      <c r="O842" t="s">
        <v>29</v>
      </c>
      <c r="P842" s="2" t="s">
        <v>23</v>
      </c>
      <c r="Q842" s="2" t="s">
        <v>24</v>
      </c>
    </row>
    <row r="843" spans="1:17" x14ac:dyDescent="0.3">
      <c r="A843">
        <v>202400155</v>
      </c>
      <c r="B843" s="1">
        <v>45343</v>
      </c>
      <c r="C843">
        <v>2024</v>
      </c>
      <c r="D843">
        <v>1</v>
      </c>
      <c r="E843">
        <v>2</v>
      </c>
      <c r="F843">
        <v>4</v>
      </c>
      <c r="G843" s="2" t="s">
        <v>110</v>
      </c>
      <c r="H843" s="2" t="s">
        <v>69</v>
      </c>
      <c r="I843" s="2" t="s">
        <v>78</v>
      </c>
      <c r="J843" s="2" t="s">
        <v>75</v>
      </c>
      <c r="K843" s="2" t="s">
        <v>70</v>
      </c>
      <c r="L843">
        <v>3</v>
      </c>
      <c r="M843">
        <v>1394.14</v>
      </c>
      <c r="N843">
        <v>4182.42</v>
      </c>
      <c r="O843" t="s">
        <v>29</v>
      </c>
      <c r="P843" s="2" t="s">
        <v>30</v>
      </c>
      <c r="Q843" s="2" t="s">
        <v>24</v>
      </c>
    </row>
    <row r="844" spans="1:17" hidden="1" x14ac:dyDescent="0.3">
      <c r="A844">
        <v>202400639</v>
      </c>
      <c r="B844" s="1">
        <v>45506</v>
      </c>
      <c r="C844">
        <v>2024</v>
      </c>
      <c r="D844">
        <v>3</v>
      </c>
      <c r="E844">
        <v>8</v>
      </c>
      <c r="F844">
        <v>57</v>
      </c>
      <c r="G844" s="2" t="s">
        <v>53</v>
      </c>
      <c r="H844" s="2" t="s">
        <v>18</v>
      </c>
      <c r="I844" s="2" t="s">
        <v>54</v>
      </c>
      <c r="J844" s="2" t="s">
        <v>20</v>
      </c>
      <c r="K844" s="2" t="s">
        <v>51</v>
      </c>
      <c r="L844">
        <v>5</v>
      </c>
      <c r="M844">
        <v>1763.35</v>
      </c>
      <c r="N844">
        <v>8816.75</v>
      </c>
      <c r="O844" t="s">
        <v>29</v>
      </c>
      <c r="P844" s="2" t="s">
        <v>30</v>
      </c>
      <c r="Q844" s="2" t="s">
        <v>24</v>
      </c>
    </row>
    <row r="845" spans="1:17" hidden="1" x14ac:dyDescent="0.3">
      <c r="A845">
        <v>202400663</v>
      </c>
      <c r="B845" s="1">
        <v>45398</v>
      </c>
      <c r="C845">
        <v>2024</v>
      </c>
      <c r="D845">
        <v>2</v>
      </c>
      <c r="E845">
        <v>4</v>
      </c>
      <c r="F845">
        <v>30</v>
      </c>
      <c r="G845" s="2" t="s">
        <v>91</v>
      </c>
      <c r="H845" s="2" t="s">
        <v>69</v>
      </c>
      <c r="I845" s="2" t="s">
        <v>65</v>
      </c>
      <c r="J845" s="2" t="s">
        <v>34</v>
      </c>
      <c r="K845" s="2" t="s">
        <v>71</v>
      </c>
      <c r="L845">
        <v>1</v>
      </c>
      <c r="M845">
        <v>854.57</v>
      </c>
      <c r="N845">
        <v>854.57</v>
      </c>
      <c r="O845" t="s">
        <v>36</v>
      </c>
      <c r="P845" s="2" t="s">
        <v>23</v>
      </c>
      <c r="Q845" s="2" t="s">
        <v>24</v>
      </c>
    </row>
    <row r="846" spans="1:17" hidden="1" x14ac:dyDescent="0.3">
      <c r="A846">
        <v>202400854</v>
      </c>
      <c r="B846" s="1">
        <v>45431</v>
      </c>
      <c r="C846">
        <v>2024</v>
      </c>
      <c r="D846">
        <v>2</v>
      </c>
      <c r="E846">
        <v>5</v>
      </c>
      <c r="F846">
        <v>47</v>
      </c>
      <c r="G846" s="2" t="s">
        <v>120</v>
      </c>
      <c r="H846" s="2" t="s">
        <v>140</v>
      </c>
      <c r="I846" s="2" t="s">
        <v>38</v>
      </c>
      <c r="J846" s="2" t="s">
        <v>20</v>
      </c>
      <c r="K846" s="2" t="s">
        <v>71</v>
      </c>
      <c r="L846">
        <v>8</v>
      </c>
      <c r="M846">
        <v>1955.77</v>
      </c>
      <c r="N846">
        <v>15646.16</v>
      </c>
      <c r="O846" t="s">
        <v>29</v>
      </c>
      <c r="P846" s="2" t="s">
        <v>43</v>
      </c>
      <c r="Q846" s="2" t="s">
        <v>24</v>
      </c>
    </row>
    <row r="847" spans="1:17" hidden="1" x14ac:dyDescent="0.3">
      <c r="A847">
        <v>202400288</v>
      </c>
      <c r="B847" s="1">
        <v>45438</v>
      </c>
      <c r="C847">
        <v>2024</v>
      </c>
      <c r="D847">
        <v>2</v>
      </c>
      <c r="E847">
        <v>5</v>
      </c>
      <c r="F847">
        <v>44</v>
      </c>
      <c r="G847" s="2" t="s">
        <v>129</v>
      </c>
      <c r="H847" s="2" t="s">
        <v>140</v>
      </c>
      <c r="I847" s="2" t="s">
        <v>27</v>
      </c>
      <c r="J847" s="2" t="s">
        <v>20</v>
      </c>
      <c r="K847" s="2" t="s">
        <v>39</v>
      </c>
      <c r="L847">
        <v>6</v>
      </c>
      <c r="M847">
        <v>295.22000000000003</v>
      </c>
      <c r="N847">
        <v>1771.3200000000002</v>
      </c>
      <c r="O847" t="s">
        <v>29</v>
      </c>
      <c r="P847" s="2" t="s">
        <v>43</v>
      </c>
      <c r="Q847" s="2" t="s">
        <v>24</v>
      </c>
    </row>
    <row r="848" spans="1:17" hidden="1" x14ac:dyDescent="0.3">
      <c r="A848">
        <v>202400626</v>
      </c>
      <c r="B848" s="1">
        <v>45478</v>
      </c>
      <c r="C848">
        <v>2024</v>
      </c>
      <c r="D848">
        <v>3</v>
      </c>
      <c r="E848">
        <v>7</v>
      </c>
      <c r="F848">
        <v>59</v>
      </c>
      <c r="G848" s="2" t="s">
        <v>73</v>
      </c>
      <c r="H848" s="2" t="s">
        <v>62</v>
      </c>
      <c r="I848" s="2" t="s">
        <v>74</v>
      </c>
      <c r="J848" s="2" t="s">
        <v>75</v>
      </c>
      <c r="K848" s="2" t="s">
        <v>39</v>
      </c>
      <c r="L848">
        <v>3</v>
      </c>
      <c r="M848">
        <v>439.52</v>
      </c>
      <c r="N848">
        <v>1318.56</v>
      </c>
      <c r="O848" t="s">
        <v>29</v>
      </c>
      <c r="P848" s="2" t="s">
        <v>30</v>
      </c>
      <c r="Q848" s="2" t="s">
        <v>41</v>
      </c>
    </row>
    <row r="849" spans="1:17" hidden="1" x14ac:dyDescent="0.3">
      <c r="A849">
        <v>202401138</v>
      </c>
      <c r="B849" s="1">
        <v>45469</v>
      </c>
      <c r="C849">
        <v>2024</v>
      </c>
      <c r="D849">
        <v>2</v>
      </c>
      <c r="E849">
        <v>6</v>
      </c>
      <c r="F849">
        <v>64</v>
      </c>
      <c r="G849" s="2" t="s">
        <v>106</v>
      </c>
      <c r="H849" s="2" t="s">
        <v>26</v>
      </c>
      <c r="I849" s="2" t="s">
        <v>27</v>
      </c>
      <c r="J849" s="2" t="s">
        <v>20</v>
      </c>
      <c r="K849" s="2" t="s">
        <v>60</v>
      </c>
      <c r="L849">
        <v>5</v>
      </c>
      <c r="M849">
        <v>188.03</v>
      </c>
      <c r="N849">
        <v>940.15</v>
      </c>
      <c r="O849" t="s">
        <v>29</v>
      </c>
      <c r="P849" s="2" t="s">
        <v>23</v>
      </c>
      <c r="Q849" s="2" t="s">
        <v>24</v>
      </c>
    </row>
    <row r="850" spans="1:17" hidden="1" x14ac:dyDescent="0.3">
      <c r="A850">
        <v>202400686</v>
      </c>
      <c r="B850" s="1">
        <v>45457</v>
      </c>
      <c r="C850">
        <v>2024</v>
      </c>
      <c r="D850">
        <v>2</v>
      </c>
      <c r="E850">
        <v>6</v>
      </c>
      <c r="F850">
        <v>26</v>
      </c>
      <c r="G850" s="2" t="s">
        <v>89</v>
      </c>
      <c r="H850" s="2" t="s">
        <v>62</v>
      </c>
      <c r="I850" s="2" t="s">
        <v>67</v>
      </c>
      <c r="J850" s="2" t="s">
        <v>20</v>
      </c>
      <c r="K850" s="2" t="s">
        <v>59</v>
      </c>
      <c r="L850">
        <v>6</v>
      </c>
      <c r="M850">
        <v>1976.91</v>
      </c>
      <c r="N850">
        <v>11861.460000000001</v>
      </c>
      <c r="O850" t="s">
        <v>29</v>
      </c>
      <c r="P850" s="2" t="s">
        <v>23</v>
      </c>
      <c r="Q850" s="2" t="s">
        <v>31</v>
      </c>
    </row>
    <row r="851" spans="1:17" hidden="1" x14ac:dyDescent="0.3">
      <c r="A851">
        <v>202401028</v>
      </c>
      <c r="B851" s="1">
        <v>45524</v>
      </c>
      <c r="C851">
        <v>2024</v>
      </c>
      <c r="D851">
        <v>3</v>
      </c>
      <c r="E851">
        <v>8</v>
      </c>
      <c r="F851">
        <v>74</v>
      </c>
      <c r="G851" s="2" t="s">
        <v>102</v>
      </c>
      <c r="H851" s="2" t="s">
        <v>140</v>
      </c>
      <c r="I851" s="2" t="s">
        <v>27</v>
      </c>
      <c r="J851" s="2" t="s">
        <v>20</v>
      </c>
      <c r="K851" s="2" t="s">
        <v>71</v>
      </c>
      <c r="L851">
        <v>12</v>
      </c>
      <c r="M851">
        <v>1614.03</v>
      </c>
      <c r="N851">
        <v>19368.36</v>
      </c>
      <c r="O851" t="s">
        <v>22</v>
      </c>
      <c r="P851" s="2" t="s">
        <v>30</v>
      </c>
      <c r="Q851" s="2" t="s">
        <v>41</v>
      </c>
    </row>
    <row r="852" spans="1:17" x14ac:dyDescent="0.3">
      <c r="A852">
        <v>202400893</v>
      </c>
      <c r="B852" s="1">
        <v>45352</v>
      </c>
      <c r="C852">
        <v>2024</v>
      </c>
      <c r="D852">
        <v>1</v>
      </c>
      <c r="E852">
        <v>3</v>
      </c>
      <c r="F852">
        <v>13</v>
      </c>
      <c r="G852" s="2" t="s">
        <v>72</v>
      </c>
      <c r="H852" s="2" t="s">
        <v>69</v>
      </c>
      <c r="I852" s="2" t="s">
        <v>38</v>
      </c>
      <c r="J852" s="2" t="s">
        <v>20</v>
      </c>
      <c r="K852" s="2" t="s">
        <v>60</v>
      </c>
      <c r="L852">
        <v>2</v>
      </c>
      <c r="M852">
        <v>1487.35</v>
      </c>
      <c r="N852">
        <v>2974.7</v>
      </c>
      <c r="O852" t="s">
        <v>36</v>
      </c>
      <c r="P852" s="2" t="s">
        <v>43</v>
      </c>
      <c r="Q852" s="2" t="s">
        <v>45</v>
      </c>
    </row>
    <row r="853" spans="1:17" hidden="1" x14ac:dyDescent="0.3">
      <c r="A853">
        <v>202400570</v>
      </c>
      <c r="B853" s="1">
        <v>45536</v>
      </c>
      <c r="C853">
        <v>2024</v>
      </c>
      <c r="D853">
        <v>3</v>
      </c>
      <c r="E853">
        <v>9</v>
      </c>
      <c r="F853">
        <v>70</v>
      </c>
      <c r="G853" s="2" t="s">
        <v>94</v>
      </c>
      <c r="H853" s="2" t="s">
        <v>18</v>
      </c>
      <c r="I853" s="2" t="s">
        <v>78</v>
      </c>
      <c r="J853" s="2" t="s">
        <v>75</v>
      </c>
      <c r="K853" s="2" t="s">
        <v>58</v>
      </c>
      <c r="L853">
        <v>1</v>
      </c>
      <c r="M853">
        <v>1538.28</v>
      </c>
      <c r="N853">
        <v>1538.28</v>
      </c>
      <c r="O853" t="s">
        <v>36</v>
      </c>
      <c r="P853" s="2" t="s">
        <v>23</v>
      </c>
      <c r="Q853" s="2" t="s">
        <v>31</v>
      </c>
    </row>
    <row r="854" spans="1:17" hidden="1" x14ac:dyDescent="0.3">
      <c r="A854">
        <v>202401177</v>
      </c>
      <c r="B854" s="1">
        <v>45435</v>
      </c>
      <c r="C854">
        <v>2024</v>
      </c>
      <c r="D854">
        <v>2</v>
      </c>
      <c r="E854">
        <v>5</v>
      </c>
      <c r="F854">
        <v>79</v>
      </c>
      <c r="G854" s="2" t="s">
        <v>108</v>
      </c>
      <c r="H854" s="2" t="s">
        <v>69</v>
      </c>
      <c r="I854" s="2" t="s">
        <v>85</v>
      </c>
      <c r="J854" s="2" t="s">
        <v>57</v>
      </c>
      <c r="K854" s="2" t="s">
        <v>59</v>
      </c>
      <c r="L854">
        <v>10</v>
      </c>
      <c r="M854">
        <v>398.26</v>
      </c>
      <c r="N854">
        <v>3982.6</v>
      </c>
      <c r="O854" t="s">
        <v>22</v>
      </c>
      <c r="P854" s="2" t="s">
        <v>48</v>
      </c>
      <c r="Q854" s="2" t="s">
        <v>41</v>
      </c>
    </row>
    <row r="855" spans="1:17" hidden="1" x14ac:dyDescent="0.3">
      <c r="A855">
        <v>202400735</v>
      </c>
      <c r="B855" s="1">
        <v>45526</v>
      </c>
      <c r="C855">
        <v>2024</v>
      </c>
      <c r="D855">
        <v>3</v>
      </c>
      <c r="E855">
        <v>8</v>
      </c>
      <c r="F855">
        <v>32</v>
      </c>
      <c r="G855" s="2" t="s">
        <v>93</v>
      </c>
      <c r="H855" s="2" t="s">
        <v>26</v>
      </c>
      <c r="I855" s="2" t="s">
        <v>65</v>
      </c>
      <c r="J855" s="2" t="s">
        <v>34</v>
      </c>
      <c r="K855" s="2" t="s">
        <v>52</v>
      </c>
      <c r="L855">
        <v>1</v>
      </c>
      <c r="M855">
        <v>991.76</v>
      </c>
      <c r="N855">
        <v>991.76</v>
      </c>
      <c r="O855" t="s">
        <v>36</v>
      </c>
      <c r="P855" s="2" t="s">
        <v>30</v>
      </c>
      <c r="Q855" s="2" t="s">
        <v>41</v>
      </c>
    </row>
    <row r="856" spans="1:17" hidden="1" x14ac:dyDescent="0.3">
      <c r="A856">
        <v>202400793</v>
      </c>
      <c r="B856" s="1">
        <v>45585</v>
      </c>
      <c r="C856">
        <v>2024</v>
      </c>
      <c r="D856">
        <v>4</v>
      </c>
      <c r="E856">
        <v>10</v>
      </c>
      <c r="F856">
        <v>48</v>
      </c>
      <c r="G856" s="2" t="s">
        <v>82</v>
      </c>
      <c r="H856" s="2" t="s">
        <v>140</v>
      </c>
      <c r="I856" s="2" t="s">
        <v>78</v>
      </c>
      <c r="J856" s="2" t="s">
        <v>75</v>
      </c>
      <c r="K856" s="2" t="s">
        <v>59</v>
      </c>
      <c r="L856">
        <v>1</v>
      </c>
      <c r="M856">
        <v>1536.46</v>
      </c>
      <c r="N856">
        <v>1536.46</v>
      </c>
      <c r="O856" t="s">
        <v>36</v>
      </c>
      <c r="P856" s="2" t="s">
        <v>43</v>
      </c>
      <c r="Q856" s="2" t="s">
        <v>31</v>
      </c>
    </row>
    <row r="857" spans="1:17" hidden="1" x14ac:dyDescent="0.3">
      <c r="A857">
        <v>202400018</v>
      </c>
      <c r="B857" s="1">
        <v>45499</v>
      </c>
      <c r="C857">
        <v>2024</v>
      </c>
      <c r="D857">
        <v>3</v>
      </c>
      <c r="E857">
        <v>7</v>
      </c>
      <c r="F857">
        <v>78</v>
      </c>
      <c r="G857" s="2" t="s">
        <v>131</v>
      </c>
      <c r="H857" s="2" t="s">
        <v>69</v>
      </c>
      <c r="I857" s="2" t="s">
        <v>19</v>
      </c>
      <c r="J857" s="2" t="s">
        <v>20</v>
      </c>
      <c r="K857" s="2" t="s">
        <v>70</v>
      </c>
      <c r="L857">
        <v>9</v>
      </c>
      <c r="M857">
        <v>578.49</v>
      </c>
      <c r="N857">
        <v>5206.41</v>
      </c>
      <c r="O857" t="s">
        <v>29</v>
      </c>
      <c r="P857" s="2" t="s">
        <v>43</v>
      </c>
      <c r="Q857" s="2" t="s">
        <v>40</v>
      </c>
    </row>
    <row r="858" spans="1:17" hidden="1" x14ac:dyDescent="0.3">
      <c r="A858">
        <v>202400128</v>
      </c>
      <c r="B858" s="1">
        <v>45544</v>
      </c>
      <c r="C858">
        <v>2024</v>
      </c>
      <c r="D858">
        <v>3</v>
      </c>
      <c r="E858">
        <v>9</v>
      </c>
      <c r="F858">
        <v>34</v>
      </c>
      <c r="G858" s="2" t="s">
        <v>95</v>
      </c>
      <c r="H858" s="2" t="s">
        <v>18</v>
      </c>
      <c r="I858" s="2" t="s">
        <v>54</v>
      </c>
      <c r="J858" s="2" t="s">
        <v>20</v>
      </c>
      <c r="K858" s="2" t="s">
        <v>51</v>
      </c>
      <c r="L858">
        <v>14</v>
      </c>
      <c r="M858">
        <v>1835.33</v>
      </c>
      <c r="N858">
        <v>25694.62</v>
      </c>
      <c r="O858" t="s">
        <v>22</v>
      </c>
      <c r="P858" s="2" t="s">
        <v>43</v>
      </c>
      <c r="Q858" s="2" t="s">
        <v>24</v>
      </c>
    </row>
    <row r="859" spans="1:17" hidden="1" x14ac:dyDescent="0.3">
      <c r="A859">
        <v>202400323</v>
      </c>
      <c r="B859" s="1">
        <v>45645</v>
      </c>
      <c r="C859">
        <v>2024</v>
      </c>
      <c r="D859">
        <v>4</v>
      </c>
      <c r="E859">
        <v>12</v>
      </c>
      <c r="F859">
        <v>48</v>
      </c>
      <c r="G859" s="2" t="s">
        <v>82</v>
      </c>
      <c r="H859" s="2" t="s">
        <v>140</v>
      </c>
      <c r="I859" s="2" t="s">
        <v>78</v>
      </c>
      <c r="J859" s="2" t="s">
        <v>75</v>
      </c>
      <c r="K859" s="2" t="s">
        <v>97</v>
      </c>
      <c r="L859">
        <v>3</v>
      </c>
      <c r="M859">
        <v>90.94</v>
      </c>
      <c r="N859">
        <v>272.82</v>
      </c>
      <c r="O859" t="s">
        <v>29</v>
      </c>
      <c r="P859" s="2" t="s">
        <v>43</v>
      </c>
      <c r="Q859" s="2" t="s">
        <v>24</v>
      </c>
    </row>
    <row r="860" spans="1:17" hidden="1" x14ac:dyDescent="0.3">
      <c r="A860">
        <v>202400256</v>
      </c>
      <c r="B860" s="1">
        <v>45619</v>
      </c>
      <c r="C860">
        <v>2024</v>
      </c>
      <c r="D860">
        <v>4</v>
      </c>
      <c r="E860">
        <v>11</v>
      </c>
      <c r="F860">
        <v>18</v>
      </c>
      <c r="G860" s="2" t="s">
        <v>116</v>
      </c>
      <c r="H860" s="2" t="s">
        <v>62</v>
      </c>
      <c r="I860" s="2" t="s">
        <v>54</v>
      </c>
      <c r="J860" s="2" t="s">
        <v>20</v>
      </c>
      <c r="K860" s="2" t="s">
        <v>47</v>
      </c>
      <c r="L860">
        <v>12</v>
      </c>
      <c r="M860">
        <v>986.17</v>
      </c>
      <c r="N860">
        <v>11834.039999999999</v>
      </c>
      <c r="O860" t="s">
        <v>22</v>
      </c>
      <c r="P860" s="2" t="s">
        <v>43</v>
      </c>
      <c r="Q860" s="2" t="s">
        <v>41</v>
      </c>
    </row>
    <row r="861" spans="1:17" hidden="1" x14ac:dyDescent="0.3">
      <c r="A861">
        <v>202400965</v>
      </c>
      <c r="B861" s="1">
        <v>45469</v>
      </c>
      <c r="C861">
        <v>2024</v>
      </c>
      <c r="D861">
        <v>2</v>
      </c>
      <c r="E861">
        <v>6</v>
      </c>
      <c r="F861">
        <v>75</v>
      </c>
      <c r="G861" s="2" t="s">
        <v>84</v>
      </c>
      <c r="H861" s="2" t="s">
        <v>62</v>
      </c>
      <c r="I861" s="2" t="s">
        <v>85</v>
      </c>
      <c r="J861" s="2" t="s">
        <v>57</v>
      </c>
      <c r="K861" s="2" t="s">
        <v>47</v>
      </c>
      <c r="L861">
        <v>8</v>
      </c>
      <c r="M861">
        <v>229</v>
      </c>
      <c r="N861">
        <v>1832</v>
      </c>
      <c r="O861" t="s">
        <v>29</v>
      </c>
      <c r="P861" s="2" t="s">
        <v>43</v>
      </c>
      <c r="Q861" s="2" t="s">
        <v>24</v>
      </c>
    </row>
    <row r="862" spans="1:17" hidden="1" x14ac:dyDescent="0.3">
      <c r="A862">
        <v>202401191</v>
      </c>
      <c r="B862" s="1">
        <v>45453</v>
      </c>
      <c r="C862">
        <v>2024</v>
      </c>
      <c r="D862">
        <v>2</v>
      </c>
      <c r="E862">
        <v>6</v>
      </c>
      <c r="F862">
        <v>43</v>
      </c>
      <c r="G862" s="2" t="s">
        <v>100</v>
      </c>
      <c r="H862" s="2" t="s">
        <v>69</v>
      </c>
      <c r="I862" s="2" t="s">
        <v>54</v>
      </c>
      <c r="J862" s="2" t="s">
        <v>20</v>
      </c>
      <c r="K862" s="2" t="s">
        <v>35</v>
      </c>
      <c r="L862">
        <v>11</v>
      </c>
      <c r="M862">
        <v>654.65</v>
      </c>
      <c r="N862">
        <v>7201.15</v>
      </c>
      <c r="O862" t="s">
        <v>22</v>
      </c>
      <c r="P862" s="2" t="s">
        <v>30</v>
      </c>
      <c r="Q862" s="2" t="s">
        <v>24</v>
      </c>
    </row>
    <row r="863" spans="1:17" x14ac:dyDescent="0.3">
      <c r="A863">
        <v>202400191</v>
      </c>
      <c r="B863" s="1">
        <v>45313</v>
      </c>
      <c r="C863">
        <v>2024</v>
      </c>
      <c r="D863">
        <v>1</v>
      </c>
      <c r="E863">
        <v>1</v>
      </c>
      <c r="F863">
        <v>26</v>
      </c>
      <c r="G863" s="2" t="s">
        <v>89</v>
      </c>
      <c r="H863" s="2" t="s">
        <v>62</v>
      </c>
      <c r="I863" s="2" t="s">
        <v>67</v>
      </c>
      <c r="J863" s="2" t="s">
        <v>20</v>
      </c>
      <c r="K863" s="2" t="s">
        <v>21</v>
      </c>
      <c r="L863">
        <v>8</v>
      </c>
      <c r="M863">
        <v>424.54</v>
      </c>
      <c r="N863">
        <v>3396.32</v>
      </c>
      <c r="O863" t="s">
        <v>29</v>
      </c>
      <c r="P863" s="2" t="s">
        <v>30</v>
      </c>
      <c r="Q863" s="2" t="s">
        <v>24</v>
      </c>
    </row>
    <row r="864" spans="1:17" hidden="1" x14ac:dyDescent="0.3">
      <c r="A864">
        <v>202400116</v>
      </c>
      <c r="B864" s="1">
        <v>45399</v>
      </c>
      <c r="C864">
        <v>2024</v>
      </c>
      <c r="D864">
        <v>2</v>
      </c>
      <c r="E864">
        <v>4</v>
      </c>
      <c r="F864">
        <v>15</v>
      </c>
      <c r="G864" s="2" t="s">
        <v>115</v>
      </c>
      <c r="H864" s="2" t="s">
        <v>140</v>
      </c>
      <c r="I864" s="2" t="s">
        <v>19</v>
      </c>
      <c r="J864" s="2" t="s">
        <v>20</v>
      </c>
      <c r="K864" s="2" t="s">
        <v>58</v>
      </c>
      <c r="L864">
        <v>7</v>
      </c>
      <c r="M864">
        <v>873.5</v>
      </c>
      <c r="N864">
        <v>6114.5</v>
      </c>
      <c r="O864" t="s">
        <v>29</v>
      </c>
      <c r="P864" s="2" t="s">
        <v>30</v>
      </c>
      <c r="Q864" s="2" t="s">
        <v>24</v>
      </c>
    </row>
    <row r="865" spans="1:17" x14ac:dyDescent="0.3">
      <c r="A865">
        <v>202401194</v>
      </c>
      <c r="B865" s="1">
        <v>45343</v>
      </c>
      <c r="C865">
        <v>2024</v>
      </c>
      <c r="D865">
        <v>1</v>
      </c>
      <c r="E865">
        <v>2</v>
      </c>
      <c r="F865">
        <v>75</v>
      </c>
      <c r="G865" s="2" t="s">
        <v>84</v>
      </c>
      <c r="H865" s="2" t="s">
        <v>62</v>
      </c>
      <c r="I865" s="2" t="s">
        <v>85</v>
      </c>
      <c r="J865" s="2" t="s">
        <v>57</v>
      </c>
      <c r="K865" s="2" t="s">
        <v>51</v>
      </c>
      <c r="L865">
        <v>12</v>
      </c>
      <c r="M865">
        <v>889.82</v>
      </c>
      <c r="N865">
        <v>10677.84</v>
      </c>
      <c r="O865" t="s">
        <v>22</v>
      </c>
      <c r="P865" s="2" t="s">
        <v>30</v>
      </c>
      <c r="Q865" s="2" t="s">
        <v>41</v>
      </c>
    </row>
    <row r="866" spans="1:17" x14ac:dyDescent="0.3">
      <c r="A866">
        <v>202400910</v>
      </c>
      <c r="B866" s="1">
        <v>45301</v>
      </c>
      <c r="C866">
        <v>2024</v>
      </c>
      <c r="D866">
        <v>1</v>
      </c>
      <c r="E866">
        <v>1</v>
      </c>
      <c r="F866">
        <v>59</v>
      </c>
      <c r="G866" s="2" t="s">
        <v>73</v>
      </c>
      <c r="H866" s="2" t="s">
        <v>62</v>
      </c>
      <c r="I866" s="2" t="s">
        <v>74</v>
      </c>
      <c r="J866" s="2" t="s">
        <v>75</v>
      </c>
      <c r="K866" s="2" t="s">
        <v>60</v>
      </c>
      <c r="L866">
        <v>10</v>
      </c>
      <c r="M866">
        <v>326.70999999999998</v>
      </c>
      <c r="N866">
        <v>3267.1</v>
      </c>
      <c r="O866" t="s">
        <v>22</v>
      </c>
      <c r="P866" s="2" t="s">
        <v>43</v>
      </c>
      <c r="Q866" s="2" t="s">
        <v>24</v>
      </c>
    </row>
    <row r="867" spans="1:17" x14ac:dyDescent="0.3">
      <c r="A867">
        <v>202400607</v>
      </c>
      <c r="B867" s="1">
        <v>45297</v>
      </c>
      <c r="C867">
        <v>2024</v>
      </c>
      <c r="D867">
        <v>1</v>
      </c>
      <c r="E867">
        <v>1</v>
      </c>
      <c r="F867">
        <v>16</v>
      </c>
      <c r="G867" s="2" t="s">
        <v>91</v>
      </c>
      <c r="H867" s="2" t="s">
        <v>18</v>
      </c>
      <c r="I867" s="2" t="s">
        <v>65</v>
      </c>
      <c r="J867" s="2" t="s">
        <v>34</v>
      </c>
      <c r="K867" s="2" t="s">
        <v>50</v>
      </c>
      <c r="L867">
        <v>8</v>
      </c>
      <c r="M867">
        <v>1388.84</v>
      </c>
      <c r="N867">
        <v>11110.72</v>
      </c>
      <c r="O867" t="s">
        <v>29</v>
      </c>
      <c r="P867" s="2" t="s">
        <v>23</v>
      </c>
      <c r="Q867" s="2" t="s">
        <v>31</v>
      </c>
    </row>
    <row r="868" spans="1:17" x14ac:dyDescent="0.3">
      <c r="A868">
        <v>202400181</v>
      </c>
      <c r="B868" s="1">
        <v>45346</v>
      </c>
      <c r="C868">
        <v>2024</v>
      </c>
      <c r="D868">
        <v>1</v>
      </c>
      <c r="E868">
        <v>2</v>
      </c>
      <c r="F868">
        <v>15</v>
      </c>
      <c r="G868" s="2" t="s">
        <v>115</v>
      </c>
      <c r="H868" s="2" t="s">
        <v>140</v>
      </c>
      <c r="I868" s="2" t="s">
        <v>19</v>
      </c>
      <c r="J868" s="2" t="s">
        <v>20</v>
      </c>
      <c r="K868" s="2" t="s">
        <v>42</v>
      </c>
      <c r="L868">
        <v>9</v>
      </c>
      <c r="M868">
        <v>42.54</v>
      </c>
      <c r="N868">
        <v>382.86</v>
      </c>
      <c r="O868" t="s">
        <v>29</v>
      </c>
      <c r="P868" s="2" t="s">
        <v>30</v>
      </c>
      <c r="Q868" s="2" t="s">
        <v>24</v>
      </c>
    </row>
    <row r="869" spans="1:17" hidden="1" x14ac:dyDescent="0.3">
      <c r="A869">
        <v>202400302</v>
      </c>
      <c r="B869" s="1">
        <v>45423</v>
      </c>
      <c r="C869">
        <v>2024</v>
      </c>
      <c r="D869">
        <v>2</v>
      </c>
      <c r="E869">
        <v>5</v>
      </c>
      <c r="F869">
        <v>78</v>
      </c>
      <c r="G869" s="2" t="s">
        <v>131</v>
      </c>
      <c r="H869" s="2" t="s">
        <v>69</v>
      </c>
      <c r="I869" s="2" t="s">
        <v>19</v>
      </c>
      <c r="J869" s="2" t="s">
        <v>20</v>
      </c>
      <c r="K869" s="2" t="s">
        <v>39</v>
      </c>
      <c r="L869">
        <v>14</v>
      </c>
      <c r="M869">
        <v>1205.7</v>
      </c>
      <c r="N869">
        <v>16879.8</v>
      </c>
      <c r="O869" t="s">
        <v>22</v>
      </c>
      <c r="P869" s="2" t="s">
        <v>23</v>
      </c>
      <c r="Q869" s="2" t="s">
        <v>41</v>
      </c>
    </row>
    <row r="870" spans="1:17" hidden="1" x14ac:dyDescent="0.3">
      <c r="A870">
        <v>202400497</v>
      </c>
      <c r="B870" s="1">
        <v>45630</v>
      </c>
      <c r="C870">
        <v>2024</v>
      </c>
      <c r="D870">
        <v>4</v>
      </c>
      <c r="E870">
        <v>12</v>
      </c>
      <c r="F870">
        <v>10</v>
      </c>
      <c r="G870" s="2" t="s">
        <v>17</v>
      </c>
      <c r="H870" s="2" t="s">
        <v>18</v>
      </c>
      <c r="I870" s="2" t="s">
        <v>19</v>
      </c>
      <c r="J870" s="2" t="s">
        <v>20</v>
      </c>
      <c r="K870" s="2" t="s">
        <v>71</v>
      </c>
      <c r="L870">
        <v>7</v>
      </c>
      <c r="M870">
        <v>955.56</v>
      </c>
      <c r="N870">
        <v>6688.92</v>
      </c>
      <c r="O870" t="s">
        <v>29</v>
      </c>
      <c r="P870" s="2" t="s">
        <v>43</v>
      </c>
      <c r="Q870" s="2" t="s">
        <v>40</v>
      </c>
    </row>
    <row r="871" spans="1:17" hidden="1" x14ac:dyDescent="0.3">
      <c r="A871">
        <v>202400349</v>
      </c>
      <c r="B871" s="1">
        <v>45617</v>
      </c>
      <c r="C871">
        <v>2024</v>
      </c>
      <c r="D871">
        <v>4</v>
      </c>
      <c r="E871">
        <v>11</v>
      </c>
      <c r="F871">
        <v>27</v>
      </c>
      <c r="G871" s="2" t="s">
        <v>83</v>
      </c>
      <c r="H871" s="2" t="s">
        <v>18</v>
      </c>
      <c r="I871" s="2" t="s">
        <v>74</v>
      </c>
      <c r="J871" s="2" t="s">
        <v>75</v>
      </c>
      <c r="K871" s="2" t="s">
        <v>47</v>
      </c>
      <c r="L871">
        <v>9</v>
      </c>
      <c r="M871">
        <v>1811.2</v>
      </c>
      <c r="N871">
        <v>16300.800000000001</v>
      </c>
      <c r="O871" t="s">
        <v>29</v>
      </c>
      <c r="P871" s="2" t="s">
        <v>43</v>
      </c>
      <c r="Q871" s="2" t="s">
        <v>31</v>
      </c>
    </row>
    <row r="872" spans="1:17" hidden="1" x14ac:dyDescent="0.3">
      <c r="A872">
        <v>202401006</v>
      </c>
      <c r="B872" s="1">
        <v>45569</v>
      </c>
      <c r="C872">
        <v>2024</v>
      </c>
      <c r="D872">
        <v>4</v>
      </c>
      <c r="E872">
        <v>10</v>
      </c>
      <c r="F872">
        <v>56</v>
      </c>
      <c r="G872" s="2" t="s">
        <v>130</v>
      </c>
      <c r="H872" s="2" t="s">
        <v>26</v>
      </c>
      <c r="I872" s="2" t="s">
        <v>56</v>
      </c>
      <c r="J872" s="2" t="s">
        <v>57</v>
      </c>
      <c r="K872" s="2" t="s">
        <v>28</v>
      </c>
      <c r="L872">
        <v>8</v>
      </c>
      <c r="M872">
        <v>743.27</v>
      </c>
      <c r="N872">
        <v>5946.16</v>
      </c>
      <c r="O872" t="s">
        <v>29</v>
      </c>
      <c r="P872" s="2" t="s">
        <v>43</v>
      </c>
      <c r="Q872" s="2" t="s">
        <v>24</v>
      </c>
    </row>
    <row r="873" spans="1:17" hidden="1" x14ac:dyDescent="0.3">
      <c r="A873">
        <v>202400745</v>
      </c>
      <c r="B873" s="1">
        <v>45583</v>
      </c>
      <c r="C873">
        <v>2024</v>
      </c>
      <c r="D873">
        <v>4</v>
      </c>
      <c r="E873">
        <v>10</v>
      </c>
      <c r="F873">
        <v>73</v>
      </c>
      <c r="G873" s="2" t="s">
        <v>111</v>
      </c>
      <c r="H873" s="2" t="s">
        <v>26</v>
      </c>
      <c r="I873" s="2" t="s">
        <v>27</v>
      </c>
      <c r="J873" s="2" t="s">
        <v>20</v>
      </c>
      <c r="K873" s="2" t="s">
        <v>60</v>
      </c>
      <c r="L873">
        <v>12</v>
      </c>
      <c r="M873">
        <v>1760.04</v>
      </c>
      <c r="N873">
        <v>21120.48</v>
      </c>
      <c r="O873" t="s">
        <v>22</v>
      </c>
      <c r="P873" s="2" t="s">
        <v>48</v>
      </c>
      <c r="Q873" s="2" t="s">
        <v>24</v>
      </c>
    </row>
    <row r="874" spans="1:17" hidden="1" x14ac:dyDescent="0.3">
      <c r="A874">
        <v>202401093</v>
      </c>
      <c r="B874" s="1">
        <v>45515</v>
      </c>
      <c r="C874">
        <v>2024</v>
      </c>
      <c r="D874">
        <v>3</v>
      </c>
      <c r="E874">
        <v>8</v>
      </c>
      <c r="F874">
        <v>75</v>
      </c>
      <c r="G874" s="2" t="s">
        <v>84</v>
      </c>
      <c r="H874" s="2" t="s">
        <v>62</v>
      </c>
      <c r="I874" s="2" t="s">
        <v>85</v>
      </c>
      <c r="J874" s="2" t="s">
        <v>57</v>
      </c>
      <c r="K874" s="2" t="s">
        <v>42</v>
      </c>
      <c r="L874">
        <v>9</v>
      </c>
      <c r="M874">
        <v>45.65</v>
      </c>
      <c r="N874">
        <v>410.84999999999997</v>
      </c>
      <c r="O874" t="s">
        <v>29</v>
      </c>
      <c r="P874" s="2" t="s">
        <v>43</v>
      </c>
      <c r="Q874" s="2" t="s">
        <v>45</v>
      </c>
    </row>
    <row r="875" spans="1:17" hidden="1" x14ac:dyDescent="0.3">
      <c r="A875">
        <v>202400978</v>
      </c>
      <c r="B875" s="1">
        <v>45571</v>
      </c>
      <c r="C875">
        <v>2024</v>
      </c>
      <c r="D875">
        <v>4</v>
      </c>
      <c r="E875">
        <v>10</v>
      </c>
      <c r="F875">
        <v>77</v>
      </c>
      <c r="G875" s="2" t="s">
        <v>109</v>
      </c>
      <c r="H875" s="2" t="s">
        <v>140</v>
      </c>
      <c r="I875" s="2" t="s">
        <v>74</v>
      </c>
      <c r="J875" s="2" t="s">
        <v>75</v>
      </c>
      <c r="K875" s="2" t="s">
        <v>52</v>
      </c>
      <c r="L875">
        <v>9</v>
      </c>
      <c r="M875">
        <v>1528.52</v>
      </c>
      <c r="N875">
        <v>13756.68</v>
      </c>
      <c r="O875" t="s">
        <v>29</v>
      </c>
      <c r="P875" s="2" t="s">
        <v>23</v>
      </c>
      <c r="Q875" s="2" t="s">
        <v>45</v>
      </c>
    </row>
    <row r="876" spans="1:17" hidden="1" x14ac:dyDescent="0.3">
      <c r="A876">
        <v>202400518</v>
      </c>
      <c r="B876" s="1">
        <v>45515</v>
      </c>
      <c r="C876">
        <v>2024</v>
      </c>
      <c r="D876">
        <v>3</v>
      </c>
      <c r="E876">
        <v>8</v>
      </c>
      <c r="F876">
        <v>47</v>
      </c>
      <c r="G876" s="2" t="s">
        <v>120</v>
      </c>
      <c r="H876" s="2" t="s">
        <v>140</v>
      </c>
      <c r="I876" s="2" t="s">
        <v>38</v>
      </c>
      <c r="J876" s="2" t="s">
        <v>20</v>
      </c>
      <c r="K876" s="2" t="s">
        <v>42</v>
      </c>
      <c r="L876">
        <v>12</v>
      </c>
      <c r="M876">
        <v>415.88</v>
      </c>
      <c r="N876">
        <v>4990.5599999999995</v>
      </c>
      <c r="O876" t="s">
        <v>22</v>
      </c>
      <c r="P876" s="2" t="s">
        <v>23</v>
      </c>
      <c r="Q876" s="2" t="s">
        <v>45</v>
      </c>
    </row>
    <row r="877" spans="1:17" hidden="1" x14ac:dyDescent="0.3">
      <c r="A877">
        <v>202400373</v>
      </c>
      <c r="B877" s="1">
        <v>45424</v>
      </c>
      <c r="C877">
        <v>2024</v>
      </c>
      <c r="D877">
        <v>2</v>
      </c>
      <c r="E877">
        <v>5</v>
      </c>
      <c r="F877">
        <v>49</v>
      </c>
      <c r="G877" s="2" t="s">
        <v>83</v>
      </c>
      <c r="H877" s="2" t="s">
        <v>69</v>
      </c>
      <c r="I877" s="2" t="s">
        <v>56</v>
      </c>
      <c r="J877" s="2" t="s">
        <v>57</v>
      </c>
      <c r="K877" s="2" t="s">
        <v>60</v>
      </c>
      <c r="L877">
        <v>7</v>
      </c>
      <c r="M877">
        <v>122.32</v>
      </c>
      <c r="N877">
        <v>856.24</v>
      </c>
      <c r="O877" t="s">
        <v>29</v>
      </c>
      <c r="P877" s="2" t="s">
        <v>43</v>
      </c>
      <c r="Q877" s="2" t="s">
        <v>41</v>
      </c>
    </row>
    <row r="878" spans="1:17" hidden="1" x14ac:dyDescent="0.3">
      <c r="A878">
        <v>202400046</v>
      </c>
      <c r="B878" s="1">
        <v>45408</v>
      </c>
      <c r="C878">
        <v>2024</v>
      </c>
      <c r="D878">
        <v>2</v>
      </c>
      <c r="E878">
        <v>4</v>
      </c>
      <c r="F878">
        <v>63</v>
      </c>
      <c r="G878" s="2" t="s">
        <v>64</v>
      </c>
      <c r="H878" s="2" t="s">
        <v>69</v>
      </c>
      <c r="I878" s="2" t="s">
        <v>65</v>
      </c>
      <c r="J878" s="2" t="s">
        <v>34</v>
      </c>
      <c r="K878" s="2" t="s">
        <v>39</v>
      </c>
      <c r="L878">
        <v>6</v>
      </c>
      <c r="M878">
        <v>1102.2</v>
      </c>
      <c r="N878">
        <v>6613.2000000000007</v>
      </c>
      <c r="O878" t="s">
        <v>29</v>
      </c>
      <c r="P878" s="2" t="s">
        <v>23</v>
      </c>
      <c r="Q878" s="2" t="s">
        <v>24</v>
      </c>
    </row>
    <row r="879" spans="1:17" hidden="1" x14ac:dyDescent="0.3">
      <c r="A879">
        <v>202400477</v>
      </c>
      <c r="B879" s="1">
        <v>45506</v>
      </c>
      <c r="C879">
        <v>2024</v>
      </c>
      <c r="D879">
        <v>3</v>
      </c>
      <c r="E879">
        <v>8</v>
      </c>
      <c r="F879">
        <v>22</v>
      </c>
      <c r="G879" s="2" t="s">
        <v>79</v>
      </c>
      <c r="H879" s="2" t="s">
        <v>18</v>
      </c>
      <c r="I879" s="2" t="s">
        <v>65</v>
      </c>
      <c r="J879" s="2" t="s">
        <v>34</v>
      </c>
      <c r="K879" s="2" t="s">
        <v>35</v>
      </c>
      <c r="L879">
        <v>9</v>
      </c>
      <c r="M879">
        <v>1240.69</v>
      </c>
      <c r="N879">
        <v>11166.210000000001</v>
      </c>
      <c r="O879" t="s">
        <v>29</v>
      </c>
      <c r="P879" s="2" t="s">
        <v>43</v>
      </c>
      <c r="Q879" s="2" t="s">
        <v>31</v>
      </c>
    </row>
    <row r="880" spans="1:17" x14ac:dyDescent="0.3">
      <c r="A880">
        <v>202400158</v>
      </c>
      <c r="B880" s="1">
        <v>45339</v>
      </c>
      <c r="C880">
        <v>2024</v>
      </c>
      <c r="D880">
        <v>1</v>
      </c>
      <c r="E880">
        <v>2</v>
      </c>
      <c r="F880">
        <v>71</v>
      </c>
      <c r="G880" s="2" t="s">
        <v>80</v>
      </c>
      <c r="H880" s="2" t="s">
        <v>18</v>
      </c>
      <c r="I880" s="2" t="s">
        <v>65</v>
      </c>
      <c r="J880" s="2" t="s">
        <v>34</v>
      </c>
      <c r="K880" s="2" t="s">
        <v>35</v>
      </c>
      <c r="L880">
        <v>12</v>
      </c>
      <c r="M880">
        <v>1062.0899999999999</v>
      </c>
      <c r="N880">
        <v>12745.079999999998</v>
      </c>
      <c r="O880" t="s">
        <v>22</v>
      </c>
      <c r="P880" s="2" t="s">
        <v>43</v>
      </c>
      <c r="Q880" s="2" t="s">
        <v>24</v>
      </c>
    </row>
    <row r="881" spans="1:17" hidden="1" x14ac:dyDescent="0.3">
      <c r="A881">
        <v>202401058</v>
      </c>
      <c r="B881" s="1">
        <v>45558</v>
      </c>
      <c r="C881">
        <v>2024</v>
      </c>
      <c r="D881">
        <v>3</v>
      </c>
      <c r="E881">
        <v>9</v>
      </c>
      <c r="F881">
        <v>38</v>
      </c>
      <c r="G881" s="2" t="s">
        <v>92</v>
      </c>
      <c r="H881" s="2" t="s">
        <v>18</v>
      </c>
      <c r="I881" s="2" t="s">
        <v>78</v>
      </c>
      <c r="J881" s="2" t="s">
        <v>75</v>
      </c>
      <c r="K881" s="2" t="s">
        <v>39</v>
      </c>
      <c r="L881">
        <v>3</v>
      </c>
      <c r="M881">
        <v>545.65</v>
      </c>
      <c r="N881">
        <v>1636.9499999999998</v>
      </c>
      <c r="O881" t="s">
        <v>29</v>
      </c>
      <c r="P881" s="2" t="s">
        <v>23</v>
      </c>
      <c r="Q881" s="2" t="s">
        <v>24</v>
      </c>
    </row>
    <row r="882" spans="1:17" hidden="1" x14ac:dyDescent="0.3">
      <c r="A882">
        <v>202400172</v>
      </c>
      <c r="B882" s="1">
        <v>45420</v>
      </c>
      <c r="C882">
        <v>2024</v>
      </c>
      <c r="D882">
        <v>2</v>
      </c>
      <c r="E882">
        <v>5</v>
      </c>
      <c r="F882">
        <v>11</v>
      </c>
      <c r="G882" s="2" t="s">
        <v>66</v>
      </c>
      <c r="H882" s="2" t="s">
        <v>18</v>
      </c>
      <c r="I882" s="2" t="s">
        <v>67</v>
      </c>
      <c r="J882" s="2" t="s">
        <v>20</v>
      </c>
      <c r="K882" s="2" t="s">
        <v>39</v>
      </c>
      <c r="L882">
        <v>10</v>
      </c>
      <c r="M882">
        <v>1458.65</v>
      </c>
      <c r="N882">
        <v>14586.5</v>
      </c>
      <c r="O882" t="s">
        <v>22</v>
      </c>
      <c r="P882" s="2" t="s">
        <v>43</v>
      </c>
      <c r="Q882" s="2" t="s">
        <v>24</v>
      </c>
    </row>
    <row r="883" spans="1:17" hidden="1" x14ac:dyDescent="0.3">
      <c r="A883">
        <v>202400017</v>
      </c>
      <c r="B883" s="1">
        <v>45506</v>
      </c>
      <c r="C883">
        <v>2024</v>
      </c>
      <c r="D883">
        <v>3</v>
      </c>
      <c r="E883">
        <v>8</v>
      </c>
      <c r="F883">
        <v>5</v>
      </c>
      <c r="G883" s="2" t="s">
        <v>121</v>
      </c>
      <c r="H883" s="2" t="s">
        <v>62</v>
      </c>
      <c r="I883" s="2" t="s">
        <v>27</v>
      </c>
      <c r="J883" s="2" t="s">
        <v>20</v>
      </c>
      <c r="K883" s="2" t="s">
        <v>70</v>
      </c>
      <c r="L883">
        <v>8</v>
      </c>
      <c r="M883">
        <v>136.88999999999999</v>
      </c>
      <c r="N883">
        <v>1095.1199999999999</v>
      </c>
      <c r="O883" t="s">
        <v>29</v>
      </c>
      <c r="P883" s="2" t="s">
        <v>23</v>
      </c>
      <c r="Q883" s="2" t="s">
        <v>24</v>
      </c>
    </row>
    <row r="884" spans="1:17" hidden="1" x14ac:dyDescent="0.3">
      <c r="A884">
        <v>202400512</v>
      </c>
      <c r="B884" s="1">
        <v>45515</v>
      </c>
      <c r="C884">
        <v>2024</v>
      </c>
      <c r="D884">
        <v>3</v>
      </c>
      <c r="E884">
        <v>8</v>
      </c>
      <c r="F884">
        <v>73</v>
      </c>
      <c r="G884" s="2" t="s">
        <v>111</v>
      </c>
      <c r="H884" s="2" t="s">
        <v>26</v>
      </c>
      <c r="I884" s="2" t="s">
        <v>27</v>
      </c>
      <c r="J884" s="2" t="s">
        <v>20</v>
      </c>
      <c r="K884" s="2" t="s">
        <v>70</v>
      </c>
      <c r="L884">
        <v>2</v>
      </c>
      <c r="M884">
        <v>1009.9</v>
      </c>
      <c r="N884">
        <v>2019.8</v>
      </c>
      <c r="O884" t="s">
        <v>36</v>
      </c>
      <c r="P884" s="2" t="s">
        <v>43</v>
      </c>
      <c r="Q884" s="2" t="s">
        <v>24</v>
      </c>
    </row>
    <row r="885" spans="1:17" hidden="1" x14ac:dyDescent="0.3">
      <c r="A885">
        <v>202400049</v>
      </c>
      <c r="B885" s="1">
        <v>45404</v>
      </c>
      <c r="C885">
        <v>2024</v>
      </c>
      <c r="D885">
        <v>2</v>
      </c>
      <c r="E885">
        <v>4</v>
      </c>
      <c r="F885">
        <v>3</v>
      </c>
      <c r="G885" s="2" t="s">
        <v>44</v>
      </c>
      <c r="H885" s="2" t="s">
        <v>26</v>
      </c>
      <c r="I885" s="2" t="s">
        <v>38</v>
      </c>
      <c r="J885" s="2" t="s">
        <v>20</v>
      </c>
      <c r="K885" s="2" t="s">
        <v>47</v>
      </c>
      <c r="L885">
        <v>2</v>
      </c>
      <c r="M885">
        <v>754.31</v>
      </c>
      <c r="N885">
        <v>1508.62</v>
      </c>
      <c r="O885" t="s">
        <v>36</v>
      </c>
      <c r="P885" s="2" t="s">
        <v>30</v>
      </c>
      <c r="Q885" s="2" t="s">
        <v>24</v>
      </c>
    </row>
    <row r="886" spans="1:17" hidden="1" x14ac:dyDescent="0.3">
      <c r="A886">
        <v>202400192</v>
      </c>
      <c r="B886" s="1">
        <v>45495</v>
      </c>
      <c r="C886">
        <v>2024</v>
      </c>
      <c r="D886">
        <v>3</v>
      </c>
      <c r="E886">
        <v>7</v>
      </c>
      <c r="F886">
        <v>1</v>
      </c>
      <c r="G886" s="2" t="s">
        <v>17</v>
      </c>
      <c r="H886" s="2" t="s">
        <v>26</v>
      </c>
      <c r="I886" s="2" t="s">
        <v>78</v>
      </c>
      <c r="J886" s="2" t="s">
        <v>75</v>
      </c>
      <c r="K886" s="2" t="s">
        <v>71</v>
      </c>
      <c r="L886">
        <v>7</v>
      </c>
      <c r="M886">
        <v>251.72</v>
      </c>
      <c r="N886">
        <v>1762.04</v>
      </c>
      <c r="O886" t="s">
        <v>29</v>
      </c>
      <c r="P886" s="2" t="s">
        <v>30</v>
      </c>
      <c r="Q886" s="2" t="s">
        <v>24</v>
      </c>
    </row>
    <row r="887" spans="1:17" x14ac:dyDescent="0.3">
      <c r="A887">
        <v>202400547</v>
      </c>
      <c r="B887" s="1">
        <v>45340</v>
      </c>
      <c r="C887">
        <v>2024</v>
      </c>
      <c r="D887">
        <v>1</v>
      </c>
      <c r="E887">
        <v>2</v>
      </c>
      <c r="F887">
        <v>12</v>
      </c>
      <c r="G887" s="2" t="s">
        <v>119</v>
      </c>
      <c r="H887" s="2" t="s">
        <v>26</v>
      </c>
      <c r="I887" s="2" t="s">
        <v>67</v>
      </c>
      <c r="J887" s="2" t="s">
        <v>20</v>
      </c>
      <c r="K887" s="2" t="s">
        <v>58</v>
      </c>
      <c r="L887">
        <v>9</v>
      </c>
      <c r="M887">
        <v>374.38</v>
      </c>
      <c r="N887">
        <v>3369.42</v>
      </c>
      <c r="O887" t="s">
        <v>29</v>
      </c>
      <c r="P887" s="2" t="s">
        <v>23</v>
      </c>
      <c r="Q887" s="2" t="s">
        <v>24</v>
      </c>
    </row>
    <row r="888" spans="1:17" x14ac:dyDescent="0.3">
      <c r="A888">
        <v>202400516</v>
      </c>
      <c r="B888" s="1">
        <v>45381</v>
      </c>
      <c r="C888">
        <v>2024</v>
      </c>
      <c r="D888">
        <v>1</v>
      </c>
      <c r="E888">
        <v>3</v>
      </c>
      <c r="F888">
        <v>72</v>
      </c>
      <c r="G888" s="2" t="s">
        <v>100</v>
      </c>
      <c r="H888" s="2" t="s">
        <v>140</v>
      </c>
      <c r="I888" s="2" t="s">
        <v>33</v>
      </c>
      <c r="J888" s="2" t="s">
        <v>34</v>
      </c>
      <c r="K888" s="2" t="s">
        <v>51</v>
      </c>
      <c r="L888">
        <v>13</v>
      </c>
      <c r="M888">
        <v>901.86</v>
      </c>
      <c r="N888">
        <v>11724.18</v>
      </c>
      <c r="O888" t="s">
        <v>22</v>
      </c>
      <c r="P888" s="2" t="s">
        <v>43</v>
      </c>
      <c r="Q888" s="2" t="s">
        <v>24</v>
      </c>
    </row>
    <row r="889" spans="1:17" hidden="1" x14ac:dyDescent="0.3">
      <c r="A889">
        <v>202401001</v>
      </c>
      <c r="B889" s="1">
        <v>45655</v>
      </c>
      <c r="C889">
        <v>2024</v>
      </c>
      <c r="D889">
        <v>4</v>
      </c>
      <c r="E889">
        <v>12</v>
      </c>
      <c r="F889">
        <v>23</v>
      </c>
      <c r="G889" s="2" t="s">
        <v>86</v>
      </c>
      <c r="H889" s="2" t="s">
        <v>26</v>
      </c>
      <c r="I889" s="2" t="s">
        <v>33</v>
      </c>
      <c r="J889" s="2" t="s">
        <v>34</v>
      </c>
      <c r="K889" s="2" t="s">
        <v>97</v>
      </c>
      <c r="L889">
        <v>1</v>
      </c>
      <c r="M889">
        <v>202.56</v>
      </c>
      <c r="N889">
        <v>202.56</v>
      </c>
      <c r="O889" t="s">
        <v>36</v>
      </c>
      <c r="P889" s="2" t="s">
        <v>30</v>
      </c>
      <c r="Q889" s="2" t="s">
        <v>24</v>
      </c>
    </row>
    <row r="890" spans="1:17" hidden="1" x14ac:dyDescent="0.3">
      <c r="A890">
        <v>202400960</v>
      </c>
      <c r="B890" s="1">
        <v>45389</v>
      </c>
      <c r="C890">
        <v>2024</v>
      </c>
      <c r="D890">
        <v>2</v>
      </c>
      <c r="E890">
        <v>4</v>
      </c>
      <c r="F890">
        <v>31</v>
      </c>
      <c r="G890" s="2" t="s">
        <v>127</v>
      </c>
      <c r="H890" s="2" t="s">
        <v>69</v>
      </c>
      <c r="I890" s="2" t="s">
        <v>54</v>
      </c>
      <c r="J890" s="2" t="s">
        <v>20</v>
      </c>
      <c r="K890" s="2" t="s">
        <v>35</v>
      </c>
      <c r="L890">
        <v>14</v>
      </c>
      <c r="M890">
        <v>202.78</v>
      </c>
      <c r="N890">
        <v>2838.92</v>
      </c>
      <c r="O890" t="s">
        <v>22</v>
      </c>
      <c r="P890" s="2" t="s">
        <v>43</v>
      </c>
      <c r="Q890" s="2" t="s">
        <v>24</v>
      </c>
    </row>
    <row r="891" spans="1:17" hidden="1" x14ac:dyDescent="0.3">
      <c r="A891">
        <v>202400829</v>
      </c>
      <c r="B891" s="1">
        <v>45390</v>
      </c>
      <c r="C891">
        <v>2024</v>
      </c>
      <c r="D891">
        <v>2</v>
      </c>
      <c r="E891">
        <v>4</v>
      </c>
      <c r="F891">
        <v>80</v>
      </c>
      <c r="G891" s="2" t="s">
        <v>76</v>
      </c>
      <c r="H891" s="2" t="s">
        <v>26</v>
      </c>
      <c r="I891" s="2" t="s">
        <v>54</v>
      </c>
      <c r="J891" s="2" t="s">
        <v>20</v>
      </c>
      <c r="K891" s="2" t="s">
        <v>58</v>
      </c>
      <c r="L891">
        <v>14</v>
      </c>
      <c r="M891">
        <v>1412.85</v>
      </c>
      <c r="N891">
        <v>19779.899999999998</v>
      </c>
      <c r="O891" t="s">
        <v>22</v>
      </c>
      <c r="P891" s="2" t="s">
        <v>30</v>
      </c>
      <c r="Q891" s="2" t="s">
        <v>24</v>
      </c>
    </row>
    <row r="892" spans="1:17" hidden="1" x14ac:dyDescent="0.3">
      <c r="A892">
        <v>202401007</v>
      </c>
      <c r="B892" s="1">
        <v>45566</v>
      </c>
      <c r="C892">
        <v>2024</v>
      </c>
      <c r="D892">
        <v>4</v>
      </c>
      <c r="E892">
        <v>10</v>
      </c>
      <c r="F892">
        <v>3</v>
      </c>
      <c r="G892" s="2" t="s">
        <v>44</v>
      </c>
      <c r="H892" s="2" t="s">
        <v>26</v>
      </c>
      <c r="I892" s="2" t="s">
        <v>38</v>
      </c>
      <c r="J892" s="2" t="s">
        <v>20</v>
      </c>
      <c r="K892" s="2" t="s">
        <v>35</v>
      </c>
      <c r="L892">
        <v>4</v>
      </c>
      <c r="M892">
        <v>1745.23</v>
      </c>
      <c r="N892">
        <v>6980.92</v>
      </c>
      <c r="O892" t="s">
        <v>29</v>
      </c>
      <c r="P892" s="2" t="s">
        <v>43</v>
      </c>
      <c r="Q892" s="2" t="s">
        <v>31</v>
      </c>
    </row>
    <row r="893" spans="1:17" hidden="1" x14ac:dyDescent="0.3">
      <c r="A893">
        <v>202400481</v>
      </c>
      <c r="B893" s="1">
        <v>45653</v>
      </c>
      <c r="C893">
        <v>2024</v>
      </c>
      <c r="D893">
        <v>4</v>
      </c>
      <c r="E893">
        <v>12</v>
      </c>
      <c r="F893">
        <v>35</v>
      </c>
      <c r="G893" s="2" t="s">
        <v>99</v>
      </c>
      <c r="H893" s="2" t="s">
        <v>140</v>
      </c>
      <c r="I893" s="2" t="s">
        <v>27</v>
      </c>
      <c r="J893" s="2" t="s">
        <v>20</v>
      </c>
      <c r="K893" s="2" t="s">
        <v>35</v>
      </c>
      <c r="L893">
        <v>14</v>
      </c>
      <c r="M893">
        <v>1397.43</v>
      </c>
      <c r="N893">
        <v>19564.02</v>
      </c>
      <c r="O893" t="s">
        <v>22</v>
      </c>
      <c r="P893" s="2" t="s">
        <v>30</v>
      </c>
      <c r="Q893" s="2" t="s">
        <v>45</v>
      </c>
    </row>
    <row r="894" spans="1:17" hidden="1" x14ac:dyDescent="0.3">
      <c r="A894">
        <v>202401140</v>
      </c>
      <c r="B894" s="1">
        <v>45554</v>
      </c>
      <c r="C894">
        <v>2024</v>
      </c>
      <c r="D894">
        <v>3</v>
      </c>
      <c r="E894">
        <v>9</v>
      </c>
      <c r="F894">
        <v>40</v>
      </c>
      <c r="G894" s="2" t="s">
        <v>125</v>
      </c>
      <c r="H894" s="2" t="s">
        <v>69</v>
      </c>
      <c r="I894" s="2" t="s">
        <v>126</v>
      </c>
      <c r="J894" s="2" t="s">
        <v>20</v>
      </c>
      <c r="K894" s="2" t="s">
        <v>71</v>
      </c>
      <c r="L894">
        <v>9</v>
      </c>
      <c r="M894">
        <v>303.68</v>
      </c>
      <c r="N894">
        <v>2733.12</v>
      </c>
      <c r="O894" t="s">
        <v>29</v>
      </c>
      <c r="P894" s="2" t="s">
        <v>30</v>
      </c>
      <c r="Q894" s="2" t="s">
        <v>40</v>
      </c>
    </row>
    <row r="895" spans="1:17" hidden="1" x14ac:dyDescent="0.3">
      <c r="A895">
        <v>202400284</v>
      </c>
      <c r="B895" s="1">
        <v>45566</v>
      </c>
      <c r="C895">
        <v>2024</v>
      </c>
      <c r="D895">
        <v>4</v>
      </c>
      <c r="E895">
        <v>10</v>
      </c>
      <c r="F895">
        <v>32</v>
      </c>
      <c r="G895" s="2" t="s">
        <v>93</v>
      </c>
      <c r="H895" s="2" t="s">
        <v>26</v>
      </c>
      <c r="I895" s="2" t="s">
        <v>65</v>
      </c>
      <c r="J895" s="2" t="s">
        <v>34</v>
      </c>
      <c r="K895" s="2" t="s">
        <v>28</v>
      </c>
      <c r="L895">
        <v>10</v>
      </c>
      <c r="M895">
        <v>1278.1199999999999</v>
      </c>
      <c r="N895">
        <v>12781.199999999999</v>
      </c>
      <c r="O895" t="s">
        <v>22</v>
      </c>
      <c r="P895" s="2" t="s">
        <v>43</v>
      </c>
      <c r="Q895" s="2" t="s">
        <v>41</v>
      </c>
    </row>
    <row r="896" spans="1:17" hidden="1" x14ac:dyDescent="0.3">
      <c r="A896">
        <v>202401041</v>
      </c>
      <c r="B896" s="1">
        <v>45465</v>
      </c>
      <c r="C896">
        <v>2024</v>
      </c>
      <c r="D896">
        <v>2</v>
      </c>
      <c r="E896">
        <v>6</v>
      </c>
      <c r="F896">
        <v>70</v>
      </c>
      <c r="G896" s="2" t="s">
        <v>94</v>
      </c>
      <c r="H896" s="2" t="s">
        <v>18</v>
      </c>
      <c r="I896" s="2" t="s">
        <v>78</v>
      </c>
      <c r="J896" s="2" t="s">
        <v>75</v>
      </c>
      <c r="K896" s="2" t="s">
        <v>70</v>
      </c>
      <c r="L896">
        <v>7</v>
      </c>
      <c r="M896">
        <v>1419.29</v>
      </c>
      <c r="N896">
        <v>9935.0299999999988</v>
      </c>
      <c r="O896" t="s">
        <v>29</v>
      </c>
      <c r="P896" s="2" t="s">
        <v>23</v>
      </c>
      <c r="Q896" s="2" t="s">
        <v>24</v>
      </c>
    </row>
    <row r="897" spans="1:17" x14ac:dyDescent="0.3">
      <c r="A897">
        <v>202400798</v>
      </c>
      <c r="B897" s="1">
        <v>45372</v>
      </c>
      <c r="C897">
        <v>2024</v>
      </c>
      <c r="D897">
        <v>1</v>
      </c>
      <c r="E897">
        <v>3</v>
      </c>
      <c r="F897">
        <v>34</v>
      </c>
      <c r="G897" s="2" t="s">
        <v>95</v>
      </c>
      <c r="H897" s="2" t="s">
        <v>18</v>
      </c>
      <c r="I897" s="2" t="s">
        <v>54</v>
      </c>
      <c r="J897" s="2" t="s">
        <v>20</v>
      </c>
      <c r="K897" s="2" t="s">
        <v>59</v>
      </c>
      <c r="L897">
        <v>1</v>
      </c>
      <c r="M897">
        <v>1633.34</v>
      </c>
      <c r="N897">
        <v>1633.34</v>
      </c>
      <c r="O897" t="s">
        <v>36</v>
      </c>
      <c r="P897" s="2" t="s">
        <v>43</v>
      </c>
      <c r="Q897" s="2" t="s">
        <v>24</v>
      </c>
    </row>
    <row r="898" spans="1:17" hidden="1" x14ac:dyDescent="0.3">
      <c r="A898">
        <v>202401158</v>
      </c>
      <c r="B898" s="1">
        <v>45570</v>
      </c>
      <c r="C898">
        <v>2024</v>
      </c>
      <c r="D898">
        <v>4</v>
      </c>
      <c r="E898">
        <v>10</v>
      </c>
      <c r="F898">
        <v>49</v>
      </c>
      <c r="G898" s="2" t="s">
        <v>83</v>
      </c>
      <c r="H898" s="2" t="s">
        <v>69</v>
      </c>
      <c r="I898" s="2" t="s">
        <v>56</v>
      </c>
      <c r="J898" s="2" t="s">
        <v>57</v>
      </c>
      <c r="K898" s="2" t="s">
        <v>50</v>
      </c>
      <c r="L898">
        <v>5</v>
      </c>
      <c r="M898">
        <v>1172.19</v>
      </c>
      <c r="N898">
        <v>5860.9500000000007</v>
      </c>
      <c r="O898" t="s">
        <v>29</v>
      </c>
      <c r="P898" s="2" t="s">
        <v>43</v>
      </c>
      <c r="Q898" s="2" t="s">
        <v>45</v>
      </c>
    </row>
    <row r="899" spans="1:17" x14ac:dyDescent="0.3">
      <c r="A899">
        <v>202400226</v>
      </c>
      <c r="B899" s="1">
        <v>45312</v>
      </c>
      <c r="C899">
        <v>2024</v>
      </c>
      <c r="D899">
        <v>1</v>
      </c>
      <c r="E899">
        <v>1</v>
      </c>
      <c r="F899">
        <v>33</v>
      </c>
      <c r="G899" s="2" t="s">
        <v>133</v>
      </c>
      <c r="H899" s="2" t="s">
        <v>140</v>
      </c>
      <c r="I899" s="2" t="s">
        <v>33</v>
      </c>
      <c r="J899" s="2" t="s">
        <v>34</v>
      </c>
      <c r="K899" s="2" t="s">
        <v>97</v>
      </c>
      <c r="L899">
        <v>6</v>
      </c>
      <c r="M899">
        <v>1321.75</v>
      </c>
      <c r="N899">
        <v>7930.5</v>
      </c>
      <c r="O899" t="s">
        <v>29</v>
      </c>
      <c r="P899" s="2" t="s">
        <v>30</v>
      </c>
      <c r="Q899" s="2" t="s">
        <v>24</v>
      </c>
    </row>
    <row r="900" spans="1:17" hidden="1" x14ac:dyDescent="0.3">
      <c r="A900">
        <v>202400027</v>
      </c>
      <c r="B900" s="1">
        <v>45410</v>
      </c>
      <c r="C900">
        <v>2024</v>
      </c>
      <c r="D900">
        <v>2</v>
      </c>
      <c r="E900">
        <v>4</v>
      </c>
      <c r="F900">
        <v>13</v>
      </c>
      <c r="G900" s="2" t="s">
        <v>72</v>
      </c>
      <c r="H900" s="2" t="s">
        <v>69</v>
      </c>
      <c r="I900" s="2" t="s">
        <v>38</v>
      </c>
      <c r="J900" s="2" t="s">
        <v>20</v>
      </c>
      <c r="K900" s="2" t="s">
        <v>60</v>
      </c>
      <c r="L900">
        <v>11</v>
      </c>
      <c r="M900">
        <v>770.41</v>
      </c>
      <c r="N900">
        <v>8474.51</v>
      </c>
      <c r="O900" t="s">
        <v>22</v>
      </c>
      <c r="P900" s="2" t="s">
        <v>43</v>
      </c>
      <c r="Q900" s="2" t="s">
        <v>45</v>
      </c>
    </row>
    <row r="901" spans="1:17" hidden="1" x14ac:dyDescent="0.3">
      <c r="A901">
        <v>202400283</v>
      </c>
      <c r="B901" s="1">
        <v>45540</v>
      </c>
      <c r="C901">
        <v>2024</v>
      </c>
      <c r="D901">
        <v>3</v>
      </c>
      <c r="E901">
        <v>9</v>
      </c>
      <c r="F901">
        <v>27</v>
      </c>
      <c r="G901" s="2" t="s">
        <v>83</v>
      </c>
      <c r="H901" s="2" t="s">
        <v>18</v>
      </c>
      <c r="I901" s="2" t="s">
        <v>74</v>
      </c>
      <c r="J901" s="2" t="s">
        <v>75</v>
      </c>
      <c r="K901" s="2" t="s">
        <v>51</v>
      </c>
      <c r="L901">
        <v>14</v>
      </c>
      <c r="M901">
        <v>1271.8</v>
      </c>
      <c r="N901">
        <v>17805.2</v>
      </c>
      <c r="O901" t="s">
        <v>22</v>
      </c>
      <c r="P901" s="2" t="s">
        <v>48</v>
      </c>
      <c r="Q901" s="2" t="s">
        <v>40</v>
      </c>
    </row>
    <row r="902" spans="1:17" x14ac:dyDescent="0.3">
      <c r="A902">
        <v>202401161</v>
      </c>
      <c r="B902" s="1">
        <v>45367</v>
      </c>
      <c r="C902">
        <v>2024</v>
      </c>
      <c r="D902">
        <v>1</v>
      </c>
      <c r="E902">
        <v>3</v>
      </c>
      <c r="F902">
        <v>65</v>
      </c>
      <c r="G902" s="2" t="s">
        <v>112</v>
      </c>
      <c r="H902" s="2" t="s">
        <v>69</v>
      </c>
      <c r="I902" s="2" t="s">
        <v>19</v>
      </c>
      <c r="J902" s="2" t="s">
        <v>20</v>
      </c>
      <c r="K902" s="2" t="s">
        <v>50</v>
      </c>
      <c r="L902">
        <v>10</v>
      </c>
      <c r="M902">
        <v>846.42</v>
      </c>
      <c r="N902">
        <v>8464.1999999999989</v>
      </c>
      <c r="O902" t="s">
        <v>22</v>
      </c>
      <c r="P902" s="2" t="s">
        <v>23</v>
      </c>
      <c r="Q902" s="2" t="s">
        <v>40</v>
      </c>
    </row>
    <row r="903" spans="1:17" x14ac:dyDescent="0.3">
      <c r="A903">
        <v>202400438</v>
      </c>
      <c r="B903" s="1">
        <v>45331</v>
      </c>
      <c r="C903">
        <v>2024</v>
      </c>
      <c r="D903">
        <v>1</v>
      </c>
      <c r="E903">
        <v>2</v>
      </c>
      <c r="F903">
        <v>47</v>
      </c>
      <c r="G903" s="2" t="s">
        <v>120</v>
      </c>
      <c r="H903" s="2" t="s">
        <v>140</v>
      </c>
      <c r="I903" s="2" t="s">
        <v>38</v>
      </c>
      <c r="J903" s="2" t="s">
        <v>20</v>
      </c>
      <c r="K903" s="2" t="s">
        <v>97</v>
      </c>
      <c r="L903">
        <v>4</v>
      </c>
      <c r="M903">
        <v>1578.94</v>
      </c>
      <c r="N903">
        <v>6315.76</v>
      </c>
      <c r="O903" t="s">
        <v>29</v>
      </c>
      <c r="P903" s="2" t="s">
        <v>43</v>
      </c>
      <c r="Q903" s="2" t="s">
        <v>31</v>
      </c>
    </row>
    <row r="904" spans="1:17" hidden="1" x14ac:dyDescent="0.3">
      <c r="A904">
        <v>202401179</v>
      </c>
      <c r="B904" s="1">
        <v>45440</v>
      </c>
      <c r="C904">
        <v>2024</v>
      </c>
      <c r="D904">
        <v>2</v>
      </c>
      <c r="E904">
        <v>5</v>
      </c>
      <c r="F904">
        <v>73</v>
      </c>
      <c r="G904" s="2" t="s">
        <v>111</v>
      </c>
      <c r="H904" s="2" t="s">
        <v>26</v>
      </c>
      <c r="I904" s="2" t="s">
        <v>27</v>
      </c>
      <c r="J904" s="2" t="s">
        <v>20</v>
      </c>
      <c r="K904" s="2" t="s">
        <v>59</v>
      </c>
      <c r="L904">
        <v>8</v>
      </c>
      <c r="M904">
        <v>566.08000000000004</v>
      </c>
      <c r="N904">
        <v>4528.6400000000003</v>
      </c>
      <c r="O904" t="s">
        <v>29</v>
      </c>
      <c r="P904" s="2" t="s">
        <v>43</v>
      </c>
      <c r="Q904" s="2" t="s">
        <v>24</v>
      </c>
    </row>
    <row r="905" spans="1:17" hidden="1" x14ac:dyDescent="0.3">
      <c r="A905">
        <v>202400365</v>
      </c>
      <c r="B905" s="1">
        <v>45438</v>
      </c>
      <c r="C905">
        <v>2024</v>
      </c>
      <c r="D905">
        <v>2</v>
      </c>
      <c r="E905">
        <v>5</v>
      </c>
      <c r="F905">
        <v>67</v>
      </c>
      <c r="G905" s="2" t="s">
        <v>124</v>
      </c>
      <c r="H905" s="2" t="s">
        <v>69</v>
      </c>
      <c r="I905" s="2" t="s">
        <v>54</v>
      </c>
      <c r="J905" s="2" t="s">
        <v>20</v>
      </c>
      <c r="K905" s="2" t="s">
        <v>21</v>
      </c>
      <c r="L905">
        <v>11</v>
      </c>
      <c r="M905">
        <v>792.29</v>
      </c>
      <c r="N905">
        <v>8715.1899999999987</v>
      </c>
      <c r="O905" t="s">
        <v>22</v>
      </c>
      <c r="P905" s="2" t="s">
        <v>48</v>
      </c>
      <c r="Q905" s="2" t="s">
        <v>24</v>
      </c>
    </row>
    <row r="906" spans="1:17" hidden="1" x14ac:dyDescent="0.3">
      <c r="A906">
        <v>202400230</v>
      </c>
      <c r="B906" s="1">
        <v>45539</v>
      </c>
      <c r="C906">
        <v>2024</v>
      </c>
      <c r="D906">
        <v>3</v>
      </c>
      <c r="E906">
        <v>9</v>
      </c>
      <c r="F906">
        <v>72</v>
      </c>
      <c r="G906" s="2" t="s">
        <v>100</v>
      </c>
      <c r="H906" s="2" t="s">
        <v>140</v>
      </c>
      <c r="I906" s="2" t="s">
        <v>33</v>
      </c>
      <c r="J906" s="2" t="s">
        <v>34</v>
      </c>
      <c r="K906" s="2" t="s">
        <v>28</v>
      </c>
      <c r="L906">
        <v>1</v>
      </c>
      <c r="M906">
        <v>808.24</v>
      </c>
      <c r="N906">
        <v>808.24</v>
      </c>
      <c r="O906" t="s">
        <v>36</v>
      </c>
      <c r="P906" s="2" t="s">
        <v>43</v>
      </c>
      <c r="Q906" s="2" t="s">
        <v>31</v>
      </c>
    </row>
    <row r="907" spans="1:17" hidden="1" x14ac:dyDescent="0.3">
      <c r="A907">
        <v>202400038</v>
      </c>
      <c r="B907" s="1">
        <v>45510</v>
      </c>
      <c r="C907">
        <v>2024</v>
      </c>
      <c r="D907">
        <v>3</v>
      </c>
      <c r="E907">
        <v>8</v>
      </c>
      <c r="F907">
        <v>77</v>
      </c>
      <c r="G907" s="2" t="s">
        <v>109</v>
      </c>
      <c r="H907" s="2" t="s">
        <v>140</v>
      </c>
      <c r="I907" s="2" t="s">
        <v>74</v>
      </c>
      <c r="J907" s="2" t="s">
        <v>75</v>
      </c>
      <c r="K907" s="2" t="s">
        <v>60</v>
      </c>
      <c r="L907">
        <v>8</v>
      </c>
      <c r="M907">
        <v>1947.21</v>
      </c>
      <c r="N907">
        <v>15577.68</v>
      </c>
      <c r="O907" t="s">
        <v>29</v>
      </c>
      <c r="P907" s="2" t="s">
        <v>23</v>
      </c>
      <c r="Q907" s="2" t="s">
        <v>24</v>
      </c>
    </row>
    <row r="908" spans="1:17" hidden="1" x14ac:dyDescent="0.3">
      <c r="A908">
        <v>202400670</v>
      </c>
      <c r="B908" s="1">
        <v>45392</v>
      </c>
      <c r="C908">
        <v>2024</v>
      </c>
      <c r="D908">
        <v>2</v>
      </c>
      <c r="E908">
        <v>4</v>
      </c>
      <c r="F908">
        <v>71</v>
      </c>
      <c r="G908" s="2" t="s">
        <v>80</v>
      </c>
      <c r="H908" s="2" t="s">
        <v>18</v>
      </c>
      <c r="I908" s="2" t="s">
        <v>65</v>
      </c>
      <c r="J908" s="2" t="s">
        <v>34</v>
      </c>
      <c r="K908" s="2" t="s">
        <v>28</v>
      </c>
      <c r="L908">
        <v>13</v>
      </c>
      <c r="M908">
        <v>940.92</v>
      </c>
      <c r="N908">
        <v>12231.96</v>
      </c>
      <c r="O908" t="s">
        <v>22</v>
      </c>
      <c r="P908" s="2" t="s">
        <v>48</v>
      </c>
      <c r="Q908" s="2" t="s">
        <v>41</v>
      </c>
    </row>
    <row r="909" spans="1:17" hidden="1" x14ac:dyDescent="0.3">
      <c r="A909">
        <v>202401192</v>
      </c>
      <c r="B909" s="1">
        <v>45619</v>
      </c>
      <c r="C909">
        <v>2024</v>
      </c>
      <c r="D909">
        <v>4</v>
      </c>
      <c r="E909">
        <v>11</v>
      </c>
      <c r="F909">
        <v>38</v>
      </c>
      <c r="G909" s="2" t="s">
        <v>92</v>
      </c>
      <c r="H909" s="2" t="s">
        <v>18</v>
      </c>
      <c r="I909" s="2" t="s">
        <v>78</v>
      </c>
      <c r="J909" s="2" t="s">
        <v>75</v>
      </c>
      <c r="K909" s="2" t="s">
        <v>47</v>
      </c>
      <c r="L909">
        <v>3</v>
      </c>
      <c r="M909">
        <v>1300.21</v>
      </c>
      <c r="N909">
        <v>3900.63</v>
      </c>
      <c r="O909" t="s">
        <v>29</v>
      </c>
      <c r="P909" s="2" t="s">
        <v>43</v>
      </c>
      <c r="Q909" s="2" t="s">
        <v>40</v>
      </c>
    </row>
    <row r="910" spans="1:17" hidden="1" x14ac:dyDescent="0.3">
      <c r="A910">
        <v>202400375</v>
      </c>
      <c r="B910" s="1">
        <v>45393</v>
      </c>
      <c r="C910">
        <v>2024</v>
      </c>
      <c r="D910">
        <v>2</v>
      </c>
      <c r="E910">
        <v>4</v>
      </c>
      <c r="F910">
        <v>8</v>
      </c>
      <c r="G910" s="2" t="s">
        <v>63</v>
      </c>
      <c r="H910" s="2" t="s">
        <v>26</v>
      </c>
      <c r="I910" s="2" t="s">
        <v>54</v>
      </c>
      <c r="J910" s="2" t="s">
        <v>20</v>
      </c>
      <c r="K910" s="2" t="s">
        <v>39</v>
      </c>
      <c r="L910">
        <v>12</v>
      </c>
      <c r="M910">
        <v>1259.6300000000001</v>
      </c>
      <c r="N910">
        <v>15115.560000000001</v>
      </c>
      <c r="O910" t="s">
        <v>22</v>
      </c>
      <c r="P910" s="2" t="s">
        <v>30</v>
      </c>
      <c r="Q910" s="2" t="s">
        <v>24</v>
      </c>
    </row>
    <row r="911" spans="1:17" hidden="1" x14ac:dyDescent="0.3">
      <c r="A911">
        <v>202400470</v>
      </c>
      <c r="B911" s="1">
        <v>45470</v>
      </c>
      <c r="C911">
        <v>2024</v>
      </c>
      <c r="D911">
        <v>2</v>
      </c>
      <c r="E911">
        <v>6</v>
      </c>
      <c r="F911">
        <v>79</v>
      </c>
      <c r="G911" s="2" t="s">
        <v>108</v>
      </c>
      <c r="H911" s="2" t="s">
        <v>69</v>
      </c>
      <c r="I911" s="2" t="s">
        <v>85</v>
      </c>
      <c r="J911" s="2" t="s">
        <v>57</v>
      </c>
      <c r="K911" s="2" t="s">
        <v>42</v>
      </c>
      <c r="L911">
        <v>9</v>
      </c>
      <c r="M911">
        <v>203.53</v>
      </c>
      <c r="N911">
        <v>1831.77</v>
      </c>
      <c r="O911" t="s">
        <v>29</v>
      </c>
      <c r="P911" s="2" t="s">
        <v>23</v>
      </c>
      <c r="Q911" s="2" t="s">
        <v>24</v>
      </c>
    </row>
    <row r="912" spans="1:17" hidden="1" x14ac:dyDescent="0.3">
      <c r="A912">
        <v>202400883</v>
      </c>
      <c r="B912" s="1">
        <v>45616</v>
      </c>
      <c r="C912">
        <v>2024</v>
      </c>
      <c r="D912">
        <v>4</v>
      </c>
      <c r="E912">
        <v>11</v>
      </c>
      <c r="F912">
        <v>40</v>
      </c>
      <c r="G912" s="2" t="s">
        <v>125</v>
      </c>
      <c r="H912" s="2" t="s">
        <v>69</v>
      </c>
      <c r="I912" s="2" t="s">
        <v>126</v>
      </c>
      <c r="J912" s="2" t="s">
        <v>20</v>
      </c>
      <c r="K912" s="2" t="s">
        <v>59</v>
      </c>
      <c r="L912">
        <v>11</v>
      </c>
      <c r="M912">
        <v>1723.98</v>
      </c>
      <c r="N912">
        <v>18963.78</v>
      </c>
      <c r="O912" t="s">
        <v>22</v>
      </c>
      <c r="P912" s="2" t="s">
        <v>23</v>
      </c>
      <c r="Q912" s="2" t="s">
        <v>24</v>
      </c>
    </row>
    <row r="913" spans="1:17" x14ac:dyDescent="0.3">
      <c r="A913">
        <v>202401193</v>
      </c>
      <c r="B913" s="1">
        <v>45315</v>
      </c>
      <c r="C913">
        <v>2024</v>
      </c>
      <c r="D913">
        <v>1</v>
      </c>
      <c r="E913">
        <v>1</v>
      </c>
      <c r="F913">
        <v>70</v>
      </c>
      <c r="G913" s="2" t="s">
        <v>94</v>
      </c>
      <c r="H913" s="2" t="s">
        <v>18</v>
      </c>
      <c r="I913" s="2" t="s">
        <v>78</v>
      </c>
      <c r="J913" s="2" t="s">
        <v>75</v>
      </c>
      <c r="K913" s="2" t="s">
        <v>58</v>
      </c>
      <c r="L913">
        <v>6</v>
      </c>
      <c r="M913">
        <v>1982.41</v>
      </c>
      <c r="N913">
        <v>11894.460000000001</v>
      </c>
      <c r="O913" t="s">
        <v>29</v>
      </c>
      <c r="P913" s="2" t="s">
        <v>43</v>
      </c>
      <c r="Q913" s="2" t="s">
        <v>49</v>
      </c>
    </row>
    <row r="914" spans="1:17" x14ac:dyDescent="0.3">
      <c r="A914">
        <v>202400688</v>
      </c>
      <c r="B914" s="1">
        <v>45341</v>
      </c>
      <c r="C914">
        <v>2024</v>
      </c>
      <c r="D914">
        <v>1</v>
      </c>
      <c r="E914">
        <v>2</v>
      </c>
      <c r="F914">
        <v>12</v>
      </c>
      <c r="G914" s="2" t="s">
        <v>119</v>
      </c>
      <c r="H914" s="2" t="s">
        <v>26</v>
      </c>
      <c r="I914" s="2" t="s">
        <v>67</v>
      </c>
      <c r="J914" s="2" t="s">
        <v>20</v>
      </c>
      <c r="K914" s="2" t="s">
        <v>42</v>
      </c>
      <c r="L914">
        <v>4</v>
      </c>
      <c r="M914">
        <v>1242.78</v>
      </c>
      <c r="N914">
        <v>4971.12</v>
      </c>
      <c r="O914" t="s">
        <v>29</v>
      </c>
      <c r="P914" s="2" t="s">
        <v>23</v>
      </c>
      <c r="Q914" s="2" t="s">
        <v>24</v>
      </c>
    </row>
    <row r="915" spans="1:17" hidden="1" x14ac:dyDescent="0.3">
      <c r="A915">
        <v>202400033</v>
      </c>
      <c r="B915" s="1">
        <v>45522</v>
      </c>
      <c r="C915">
        <v>2024</v>
      </c>
      <c r="D915">
        <v>3</v>
      </c>
      <c r="E915">
        <v>8</v>
      </c>
      <c r="F915">
        <v>29</v>
      </c>
      <c r="G915" s="2" t="s">
        <v>61</v>
      </c>
      <c r="H915" s="2" t="s">
        <v>62</v>
      </c>
      <c r="I915" s="2" t="s">
        <v>19</v>
      </c>
      <c r="J915" s="2" t="s">
        <v>20</v>
      </c>
      <c r="K915" s="2" t="s">
        <v>42</v>
      </c>
      <c r="L915">
        <v>2</v>
      </c>
      <c r="M915">
        <v>1502.22</v>
      </c>
      <c r="N915">
        <v>3004.44</v>
      </c>
      <c r="O915" t="s">
        <v>36</v>
      </c>
      <c r="P915" s="2" t="s">
        <v>23</v>
      </c>
      <c r="Q915" s="2" t="s">
        <v>41</v>
      </c>
    </row>
    <row r="916" spans="1:17" hidden="1" x14ac:dyDescent="0.3">
      <c r="A916">
        <v>202400640</v>
      </c>
      <c r="B916" s="1">
        <v>45487</v>
      </c>
      <c r="C916">
        <v>2024</v>
      </c>
      <c r="D916">
        <v>3</v>
      </c>
      <c r="E916">
        <v>7</v>
      </c>
      <c r="F916">
        <v>35</v>
      </c>
      <c r="G916" s="2" t="s">
        <v>99</v>
      </c>
      <c r="H916" s="2" t="s">
        <v>140</v>
      </c>
      <c r="I916" s="2" t="s">
        <v>27</v>
      </c>
      <c r="J916" s="2" t="s">
        <v>20</v>
      </c>
      <c r="K916" s="2" t="s">
        <v>97</v>
      </c>
      <c r="L916">
        <v>11</v>
      </c>
      <c r="M916">
        <v>710.44</v>
      </c>
      <c r="N916">
        <v>7814.84</v>
      </c>
      <c r="O916" t="s">
        <v>22</v>
      </c>
      <c r="P916" s="2" t="s">
        <v>30</v>
      </c>
      <c r="Q916" s="2" t="s">
        <v>24</v>
      </c>
    </row>
    <row r="917" spans="1:17" hidden="1" x14ac:dyDescent="0.3">
      <c r="A917">
        <v>202401050</v>
      </c>
      <c r="B917" s="1">
        <v>45478</v>
      </c>
      <c r="C917">
        <v>2024</v>
      </c>
      <c r="D917">
        <v>3</v>
      </c>
      <c r="E917">
        <v>7</v>
      </c>
      <c r="F917">
        <v>54</v>
      </c>
      <c r="G917" s="2" t="s">
        <v>68</v>
      </c>
      <c r="H917" s="2" t="s">
        <v>69</v>
      </c>
      <c r="I917" s="2" t="s">
        <v>19</v>
      </c>
      <c r="J917" s="2" t="s">
        <v>20</v>
      </c>
      <c r="K917" s="2" t="s">
        <v>21</v>
      </c>
      <c r="L917">
        <v>13</v>
      </c>
      <c r="M917">
        <v>1310.1099999999999</v>
      </c>
      <c r="N917">
        <v>17031.43</v>
      </c>
      <c r="O917" t="s">
        <v>22</v>
      </c>
      <c r="P917" s="2" t="s">
        <v>30</v>
      </c>
      <c r="Q917" s="2" t="s">
        <v>31</v>
      </c>
    </row>
    <row r="918" spans="1:17" hidden="1" x14ac:dyDescent="0.3">
      <c r="A918">
        <v>202400195</v>
      </c>
      <c r="B918" s="1">
        <v>45475</v>
      </c>
      <c r="C918">
        <v>2024</v>
      </c>
      <c r="D918">
        <v>3</v>
      </c>
      <c r="E918">
        <v>7</v>
      </c>
      <c r="F918">
        <v>68</v>
      </c>
      <c r="G918" s="2" t="s">
        <v>128</v>
      </c>
      <c r="H918" s="2" t="s">
        <v>140</v>
      </c>
      <c r="I918" s="2" t="s">
        <v>85</v>
      </c>
      <c r="J918" s="2" t="s">
        <v>57</v>
      </c>
      <c r="K918" s="2" t="s">
        <v>70</v>
      </c>
      <c r="L918">
        <v>10</v>
      </c>
      <c r="M918">
        <v>1284.71</v>
      </c>
      <c r="N918">
        <v>12847.1</v>
      </c>
      <c r="O918" t="s">
        <v>22</v>
      </c>
      <c r="P918" s="2" t="s">
        <v>43</v>
      </c>
      <c r="Q918" s="2" t="s">
        <v>24</v>
      </c>
    </row>
    <row r="919" spans="1:17" hidden="1" x14ac:dyDescent="0.3">
      <c r="A919">
        <v>202401117</v>
      </c>
      <c r="B919" s="1">
        <v>45651</v>
      </c>
      <c r="C919">
        <v>2024</v>
      </c>
      <c r="D919">
        <v>4</v>
      </c>
      <c r="E919">
        <v>12</v>
      </c>
      <c r="F919">
        <v>43</v>
      </c>
      <c r="G919" s="2" t="s">
        <v>100</v>
      </c>
      <c r="H919" s="2" t="s">
        <v>69</v>
      </c>
      <c r="I919" s="2" t="s">
        <v>54</v>
      </c>
      <c r="J919" s="2" t="s">
        <v>20</v>
      </c>
      <c r="K919" s="2" t="s">
        <v>60</v>
      </c>
      <c r="L919">
        <v>8</v>
      </c>
      <c r="M919">
        <v>234.26</v>
      </c>
      <c r="N919">
        <v>1874.08</v>
      </c>
      <c r="O919" t="s">
        <v>29</v>
      </c>
      <c r="P919" s="2" t="s">
        <v>30</v>
      </c>
      <c r="Q919" s="2" t="s">
        <v>40</v>
      </c>
    </row>
    <row r="920" spans="1:17" hidden="1" x14ac:dyDescent="0.3">
      <c r="A920">
        <v>202401125</v>
      </c>
      <c r="B920" s="1">
        <v>45463</v>
      </c>
      <c r="C920">
        <v>2024</v>
      </c>
      <c r="D920">
        <v>2</v>
      </c>
      <c r="E920">
        <v>6</v>
      </c>
      <c r="F920">
        <v>32</v>
      </c>
      <c r="G920" s="2" t="s">
        <v>93</v>
      </c>
      <c r="H920" s="2" t="s">
        <v>26</v>
      </c>
      <c r="I920" s="2" t="s">
        <v>65</v>
      </c>
      <c r="J920" s="2" t="s">
        <v>34</v>
      </c>
      <c r="K920" s="2" t="s">
        <v>71</v>
      </c>
      <c r="L920">
        <v>6</v>
      </c>
      <c r="M920">
        <v>974.86</v>
      </c>
      <c r="N920">
        <v>5849.16</v>
      </c>
      <c r="O920" t="s">
        <v>29</v>
      </c>
      <c r="P920" s="2" t="s">
        <v>43</v>
      </c>
      <c r="Q920" s="2" t="s">
        <v>40</v>
      </c>
    </row>
    <row r="921" spans="1:17" hidden="1" x14ac:dyDescent="0.3">
      <c r="A921">
        <v>202400974</v>
      </c>
      <c r="B921" s="1">
        <v>45441</v>
      </c>
      <c r="C921">
        <v>2024</v>
      </c>
      <c r="D921">
        <v>2</v>
      </c>
      <c r="E921">
        <v>5</v>
      </c>
      <c r="F921">
        <v>44</v>
      </c>
      <c r="G921" s="2" t="s">
        <v>129</v>
      </c>
      <c r="H921" s="2" t="s">
        <v>140</v>
      </c>
      <c r="I921" s="2" t="s">
        <v>27</v>
      </c>
      <c r="J921" s="2" t="s">
        <v>20</v>
      </c>
      <c r="K921" s="2" t="s">
        <v>50</v>
      </c>
      <c r="L921">
        <v>2</v>
      </c>
      <c r="M921">
        <v>1394.73</v>
      </c>
      <c r="N921">
        <v>2789.46</v>
      </c>
      <c r="O921" t="s">
        <v>36</v>
      </c>
      <c r="P921" s="2" t="s">
        <v>43</v>
      </c>
      <c r="Q921" s="2" t="s">
        <v>40</v>
      </c>
    </row>
    <row r="922" spans="1:17" hidden="1" x14ac:dyDescent="0.3">
      <c r="A922">
        <v>202400504</v>
      </c>
      <c r="B922" s="1">
        <v>45489</v>
      </c>
      <c r="C922">
        <v>2024</v>
      </c>
      <c r="D922">
        <v>3</v>
      </c>
      <c r="E922">
        <v>7</v>
      </c>
      <c r="F922">
        <v>13</v>
      </c>
      <c r="G922" s="2" t="s">
        <v>72</v>
      </c>
      <c r="H922" s="2" t="s">
        <v>69</v>
      </c>
      <c r="I922" s="2" t="s">
        <v>38</v>
      </c>
      <c r="J922" s="2" t="s">
        <v>20</v>
      </c>
      <c r="K922" s="2" t="s">
        <v>59</v>
      </c>
      <c r="L922">
        <v>1</v>
      </c>
      <c r="M922">
        <v>1449.16</v>
      </c>
      <c r="N922">
        <v>1449.16</v>
      </c>
      <c r="O922" t="s">
        <v>36</v>
      </c>
      <c r="P922" s="2" t="s">
        <v>23</v>
      </c>
      <c r="Q922" s="2" t="s">
        <v>24</v>
      </c>
    </row>
    <row r="923" spans="1:17" hidden="1" x14ac:dyDescent="0.3">
      <c r="A923">
        <v>202400916</v>
      </c>
      <c r="B923" s="1">
        <v>45391</v>
      </c>
      <c r="C923">
        <v>2024</v>
      </c>
      <c r="D923">
        <v>2</v>
      </c>
      <c r="E923">
        <v>4</v>
      </c>
      <c r="F923">
        <v>6</v>
      </c>
      <c r="G923" s="2" t="s">
        <v>55</v>
      </c>
      <c r="H923" s="2" t="s">
        <v>26</v>
      </c>
      <c r="I923" s="2" t="s">
        <v>56</v>
      </c>
      <c r="J923" s="2" t="s">
        <v>57</v>
      </c>
      <c r="K923" s="2" t="s">
        <v>71</v>
      </c>
      <c r="L923">
        <v>10</v>
      </c>
      <c r="M923">
        <v>358.62</v>
      </c>
      <c r="N923">
        <v>3586.2</v>
      </c>
      <c r="O923" t="s">
        <v>22</v>
      </c>
      <c r="P923" s="2" t="s">
        <v>43</v>
      </c>
      <c r="Q923" s="2" t="s">
        <v>24</v>
      </c>
    </row>
    <row r="924" spans="1:17" hidden="1" x14ac:dyDescent="0.3">
      <c r="A924">
        <v>202401000</v>
      </c>
      <c r="B924" s="1">
        <v>45604</v>
      </c>
      <c r="C924">
        <v>2024</v>
      </c>
      <c r="D924">
        <v>4</v>
      </c>
      <c r="E924">
        <v>11</v>
      </c>
      <c r="F924">
        <v>19</v>
      </c>
      <c r="G924" s="2" t="s">
        <v>122</v>
      </c>
      <c r="H924" s="2" t="s">
        <v>26</v>
      </c>
      <c r="I924" s="2" t="s">
        <v>38</v>
      </c>
      <c r="J924" s="2" t="s">
        <v>20</v>
      </c>
      <c r="K924" s="2" t="s">
        <v>50</v>
      </c>
      <c r="L924">
        <v>9</v>
      </c>
      <c r="M924">
        <v>421.35</v>
      </c>
      <c r="N924">
        <v>3792.15</v>
      </c>
      <c r="O924" t="s">
        <v>29</v>
      </c>
      <c r="P924" s="2" t="s">
        <v>30</v>
      </c>
      <c r="Q924" s="2" t="s">
        <v>41</v>
      </c>
    </row>
    <row r="925" spans="1:17" hidden="1" x14ac:dyDescent="0.3">
      <c r="A925">
        <v>202401099</v>
      </c>
      <c r="B925" s="1">
        <v>45447</v>
      </c>
      <c r="C925">
        <v>2024</v>
      </c>
      <c r="D925">
        <v>2</v>
      </c>
      <c r="E925">
        <v>6</v>
      </c>
      <c r="F925">
        <v>38</v>
      </c>
      <c r="G925" s="2" t="s">
        <v>92</v>
      </c>
      <c r="H925" s="2" t="s">
        <v>18</v>
      </c>
      <c r="I925" s="2" t="s">
        <v>78</v>
      </c>
      <c r="J925" s="2" t="s">
        <v>75</v>
      </c>
      <c r="K925" s="2" t="s">
        <v>39</v>
      </c>
      <c r="L925">
        <v>9</v>
      </c>
      <c r="M925">
        <v>1829.81</v>
      </c>
      <c r="N925">
        <v>16468.29</v>
      </c>
      <c r="O925" t="s">
        <v>29</v>
      </c>
      <c r="P925" s="2" t="s">
        <v>30</v>
      </c>
      <c r="Q925" s="2" t="s">
        <v>24</v>
      </c>
    </row>
    <row r="926" spans="1:17" hidden="1" x14ac:dyDescent="0.3">
      <c r="A926">
        <v>202400801</v>
      </c>
      <c r="B926" s="1">
        <v>45386</v>
      </c>
      <c r="C926">
        <v>2024</v>
      </c>
      <c r="D926">
        <v>2</v>
      </c>
      <c r="E926">
        <v>4</v>
      </c>
      <c r="F926">
        <v>4</v>
      </c>
      <c r="G926" s="2" t="s">
        <v>110</v>
      </c>
      <c r="H926" s="2" t="s">
        <v>69</v>
      </c>
      <c r="I926" s="2" t="s">
        <v>78</v>
      </c>
      <c r="J926" s="2" t="s">
        <v>75</v>
      </c>
      <c r="K926" s="2" t="s">
        <v>35</v>
      </c>
      <c r="L926">
        <v>8</v>
      </c>
      <c r="M926">
        <v>1520.86</v>
      </c>
      <c r="N926">
        <v>12166.88</v>
      </c>
      <c r="O926" t="s">
        <v>29</v>
      </c>
      <c r="P926" s="2" t="s">
        <v>23</v>
      </c>
      <c r="Q926" s="2" t="s">
        <v>31</v>
      </c>
    </row>
    <row r="927" spans="1:17" hidden="1" x14ac:dyDescent="0.3">
      <c r="A927">
        <v>202400580</v>
      </c>
      <c r="B927" s="1">
        <v>45499</v>
      </c>
      <c r="C927">
        <v>2024</v>
      </c>
      <c r="D927">
        <v>3</v>
      </c>
      <c r="E927">
        <v>7</v>
      </c>
      <c r="F927">
        <v>50</v>
      </c>
      <c r="G927" s="2" t="s">
        <v>37</v>
      </c>
      <c r="H927" s="2" t="s">
        <v>62</v>
      </c>
      <c r="I927" s="2" t="s">
        <v>38</v>
      </c>
      <c r="J927" s="2" t="s">
        <v>20</v>
      </c>
      <c r="K927" s="2" t="s">
        <v>47</v>
      </c>
      <c r="L927">
        <v>9</v>
      </c>
      <c r="M927">
        <v>1578.4</v>
      </c>
      <c r="N927">
        <v>14205.6</v>
      </c>
      <c r="O927" t="s">
        <v>29</v>
      </c>
      <c r="P927" s="2" t="s">
        <v>30</v>
      </c>
      <c r="Q927" s="2" t="s">
        <v>24</v>
      </c>
    </row>
    <row r="928" spans="1:17" x14ac:dyDescent="0.3">
      <c r="A928">
        <v>202400161</v>
      </c>
      <c r="B928" s="1">
        <v>45297</v>
      </c>
      <c r="C928">
        <v>2024</v>
      </c>
      <c r="D928">
        <v>1</v>
      </c>
      <c r="E928">
        <v>1</v>
      </c>
      <c r="F928">
        <v>60</v>
      </c>
      <c r="G928" s="2" t="s">
        <v>101</v>
      </c>
      <c r="H928" s="2" t="s">
        <v>62</v>
      </c>
      <c r="I928" s="2" t="s">
        <v>54</v>
      </c>
      <c r="J928" s="2" t="s">
        <v>20</v>
      </c>
      <c r="K928" s="2" t="s">
        <v>35</v>
      </c>
      <c r="L928">
        <v>12</v>
      </c>
      <c r="M928">
        <v>923.36</v>
      </c>
      <c r="N928">
        <v>11080.32</v>
      </c>
      <c r="O928" t="s">
        <v>22</v>
      </c>
      <c r="P928" s="2" t="s">
        <v>43</v>
      </c>
      <c r="Q928" s="2" t="s">
        <v>40</v>
      </c>
    </row>
    <row r="929" spans="1:17" hidden="1" x14ac:dyDescent="0.3">
      <c r="A929">
        <v>202400681</v>
      </c>
      <c r="B929" s="1">
        <v>45604</v>
      </c>
      <c r="C929">
        <v>2024</v>
      </c>
      <c r="D929">
        <v>4</v>
      </c>
      <c r="E929">
        <v>11</v>
      </c>
      <c r="F929">
        <v>14</v>
      </c>
      <c r="G929" s="2" t="s">
        <v>106</v>
      </c>
      <c r="H929" s="2" t="s">
        <v>26</v>
      </c>
      <c r="I929" s="2" t="s">
        <v>54</v>
      </c>
      <c r="J929" s="2" t="s">
        <v>20</v>
      </c>
      <c r="K929" s="2" t="s">
        <v>60</v>
      </c>
      <c r="L929">
        <v>10</v>
      </c>
      <c r="M929">
        <v>1715.38</v>
      </c>
      <c r="N929">
        <v>17153.800000000003</v>
      </c>
      <c r="O929" t="s">
        <v>22</v>
      </c>
      <c r="P929" s="2" t="s">
        <v>23</v>
      </c>
      <c r="Q929" s="2" t="s">
        <v>45</v>
      </c>
    </row>
    <row r="930" spans="1:17" x14ac:dyDescent="0.3">
      <c r="A930">
        <v>202400957</v>
      </c>
      <c r="B930" s="1">
        <v>45326</v>
      </c>
      <c r="C930">
        <v>2024</v>
      </c>
      <c r="D930">
        <v>1</v>
      </c>
      <c r="E930">
        <v>2</v>
      </c>
      <c r="F930">
        <v>49</v>
      </c>
      <c r="G930" s="2" t="s">
        <v>83</v>
      </c>
      <c r="H930" s="2" t="s">
        <v>69</v>
      </c>
      <c r="I930" s="2" t="s">
        <v>56</v>
      </c>
      <c r="J930" s="2" t="s">
        <v>57</v>
      </c>
      <c r="K930" s="2" t="s">
        <v>50</v>
      </c>
      <c r="L930">
        <v>2</v>
      </c>
      <c r="M930">
        <v>508.74</v>
      </c>
      <c r="N930">
        <v>1017.48</v>
      </c>
      <c r="O930" t="s">
        <v>36</v>
      </c>
      <c r="P930" s="2" t="s">
        <v>30</v>
      </c>
      <c r="Q930" s="2" t="s">
        <v>24</v>
      </c>
    </row>
    <row r="931" spans="1:17" hidden="1" x14ac:dyDescent="0.3">
      <c r="A931">
        <v>202401142</v>
      </c>
      <c r="B931" s="1">
        <v>45562</v>
      </c>
      <c r="C931">
        <v>2024</v>
      </c>
      <c r="D931">
        <v>3</v>
      </c>
      <c r="E931">
        <v>9</v>
      </c>
      <c r="F931">
        <v>47</v>
      </c>
      <c r="G931" s="2" t="s">
        <v>120</v>
      </c>
      <c r="H931" s="2" t="s">
        <v>140</v>
      </c>
      <c r="I931" s="2" t="s">
        <v>38</v>
      </c>
      <c r="J931" s="2" t="s">
        <v>20</v>
      </c>
      <c r="K931" s="2" t="s">
        <v>97</v>
      </c>
      <c r="L931">
        <v>4</v>
      </c>
      <c r="M931">
        <v>1433.49</v>
      </c>
      <c r="N931">
        <v>5733.96</v>
      </c>
      <c r="O931" t="s">
        <v>29</v>
      </c>
      <c r="P931" s="2" t="s">
        <v>43</v>
      </c>
      <c r="Q931" s="2" t="s">
        <v>24</v>
      </c>
    </row>
    <row r="932" spans="1:17" hidden="1" x14ac:dyDescent="0.3">
      <c r="A932">
        <v>202400163</v>
      </c>
      <c r="B932" s="1">
        <v>45446</v>
      </c>
      <c r="C932">
        <v>2024</v>
      </c>
      <c r="D932">
        <v>2</v>
      </c>
      <c r="E932">
        <v>6</v>
      </c>
      <c r="F932">
        <v>19</v>
      </c>
      <c r="G932" s="2" t="s">
        <v>122</v>
      </c>
      <c r="H932" s="2" t="s">
        <v>26</v>
      </c>
      <c r="I932" s="2" t="s">
        <v>38</v>
      </c>
      <c r="J932" s="2" t="s">
        <v>20</v>
      </c>
      <c r="K932" s="2" t="s">
        <v>50</v>
      </c>
      <c r="L932">
        <v>10</v>
      </c>
      <c r="M932">
        <v>1057.0999999999999</v>
      </c>
      <c r="N932">
        <v>10571</v>
      </c>
      <c r="O932" t="s">
        <v>22</v>
      </c>
      <c r="P932" s="2" t="s">
        <v>23</v>
      </c>
      <c r="Q932" s="2" t="s">
        <v>24</v>
      </c>
    </row>
    <row r="933" spans="1:17" hidden="1" x14ac:dyDescent="0.3">
      <c r="A933">
        <v>202400822</v>
      </c>
      <c r="B933" s="1">
        <v>45565</v>
      </c>
      <c r="C933">
        <v>2024</v>
      </c>
      <c r="D933">
        <v>3</v>
      </c>
      <c r="E933">
        <v>9</v>
      </c>
      <c r="F933">
        <v>11</v>
      </c>
      <c r="G933" s="2" t="s">
        <v>66</v>
      </c>
      <c r="H933" s="2" t="s">
        <v>18</v>
      </c>
      <c r="I933" s="2" t="s">
        <v>67</v>
      </c>
      <c r="J933" s="2" t="s">
        <v>20</v>
      </c>
      <c r="K933" s="2" t="s">
        <v>71</v>
      </c>
      <c r="L933">
        <v>12</v>
      </c>
      <c r="M933">
        <v>475.39</v>
      </c>
      <c r="N933">
        <v>5704.68</v>
      </c>
      <c r="O933" t="s">
        <v>22</v>
      </c>
      <c r="P933" s="2" t="s">
        <v>43</v>
      </c>
      <c r="Q933" s="2" t="s">
        <v>24</v>
      </c>
    </row>
    <row r="934" spans="1:17" x14ac:dyDescent="0.3">
      <c r="A934">
        <v>202400706</v>
      </c>
      <c r="B934" s="1">
        <v>45305</v>
      </c>
      <c r="C934">
        <v>2024</v>
      </c>
      <c r="D934">
        <v>1</v>
      </c>
      <c r="E934">
        <v>1</v>
      </c>
      <c r="F934">
        <v>4</v>
      </c>
      <c r="G934" s="2" t="s">
        <v>110</v>
      </c>
      <c r="H934" s="2" t="s">
        <v>69</v>
      </c>
      <c r="I934" s="2" t="s">
        <v>78</v>
      </c>
      <c r="J934" s="2" t="s">
        <v>75</v>
      </c>
      <c r="K934" s="2" t="s">
        <v>70</v>
      </c>
      <c r="L934">
        <v>13</v>
      </c>
      <c r="M934">
        <v>1747.19</v>
      </c>
      <c r="N934">
        <v>22713.47</v>
      </c>
      <c r="O934" t="s">
        <v>22</v>
      </c>
      <c r="P934" s="2" t="s">
        <v>43</v>
      </c>
      <c r="Q934" s="2" t="s">
        <v>24</v>
      </c>
    </row>
    <row r="935" spans="1:17" hidden="1" x14ac:dyDescent="0.3">
      <c r="A935">
        <v>202401102</v>
      </c>
      <c r="B935" s="1">
        <v>45649</v>
      </c>
      <c r="C935">
        <v>2024</v>
      </c>
      <c r="D935">
        <v>4</v>
      </c>
      <c r="E935">
        <v>12</v>
      </c>
      <c r="F935">
        <v>55</v>
      </c>
      <c r="G935" s="2" t="s">
        <v>87</v>
      </c>
      <c r="H935" s="2" t="s">
        <v>69</v>
      </c>
      <c r="I935" s="2" t="s">
        <v>85</v>
      </c>
      <c r="J935" s="2" t="s">
        <v>57</v>
      </c>
      <c r="K935" s="2" t="s">
        <v>39</v>
      </c>
      <c r="L935">
        <v>4</v>
      </c>
      <c r="M935">
        <v>1690.47</v>
      </c>
      <c r="N935">
        <v>6761.88</v>
      </c>
      <c r="O935" t="s">
        <v>29</v>
      </c>
      <c r="P935" s="2" t="s">
        <v>43</v>
      </c>
      <c r="Q935" s="2" t="s">
        <v>31</v>
      </c>
    </row>
    <row r="936" spans="1:17" hidden="1" x14ac:dyDescent="0.3">
      <c r="A936">
        <v>202400878</v>
      </c>
      <c r="B936" s="1">
        <v>45409</v>
      </c>
      <c r="C936">
        <v>2024</v>
      </c>
      <c r="D936">
        <v>2</v>
      </c>
      <c r="E936">
        <v>4</v>
      </c>
      <c r="F936">
        <v>51</v>
      </c>
      <c r="G936" s="2" t="s">
        <v>132</v>
      </c>
      <c r="H936" s="2" t="s">
        <v>62</v>
      </c>
      <c r="I936" s="2" t="s">
        <v>78</v>
      </c>
      <c r="J936" s="2" t="s">
        <v>75</v>
      </c>
      <c r="K936" s="2" t="s">
        <v>47</v>
      </c>
      <c r="L936">
        <v>14</v>
      </c>
      <c r="M936">
        <v>1165.1199999999999</v>
      </c>
      <c r="N936">
        <v>16311.679999999998</v>
      </c>
      <c r="O936" t="s">
        <v>22</v>
      </c>
      <c r="P936" s="2" t="s">
        <v>30</v>
      </c>
      <c r="Q936" s="2" t="s">
        <v>24</v>
      </c>
    </row>
    <row r="937" spans="1:17" hidden="1" x14ac:dyDescent="0.3">
      <c r="A937">
        <v>202400896</v>
      </c>
      <c r="B937" s="1">
        <v>45475</v>
      </c>
      <c r="C937">
        <v>2024</v>
      </c>
      <c r="D937">
        <v>3</v>
      </c>
      <c r="E937">
        <v>7</v>
      </c>
      <c r="F937">
        <v>73</v>
      </c>
      <c r="G937" s="2" t="s">
        <v>111</v>
      </c>
      <c r="H937" s="2" t="s">
        <v>26</v>
      </c>
      <c r="I937" s="2" t="s">
        <v>27</v>
      </c>
      <c r="J937" s="2" t="s">
        <v>20</v>
      </c>
      <c r="K937" s="2" t="s">
        <v>97</v>
      </c>
      <c r="L937">
        <v>12</v>
      </c>
      <c r="M937">
        <v>595.25</v>
      </c>
      <c r="N937">
        <v>7143</v>
      </c>
      <c r="O937" t="s">
        <v>22</v>
      </c>
      <c r="P937" s="2" t="s">
        <v>43</v>
      </c>
      <c r="Q937" s="2" t="s">
        <v>45</v>
      </c>
    </row>
    <row r="938" spans="1:17" hidden="1" x14ac:dyDescent="0.3">
      <c r="A938">
        <v>202400914</v>
      </c>
      <c r="B938" s="1">
        <v>45656</v>
      </c>
      <c r="C938">
        <v>2024</v>
      </c>
      <c r="D938">
        <v>4</v>
      </c>
      <c r="E938">
        <v>12</v>
      </c>
      <c r="F938">
        <v>78</v>
      </c>
      <c r="G938" s="2" t="s">
        <v>131</v>
      </c>
      <c r="H938" s="2" t="s">
        <v>69</v>
      </c>
      <c r="I938" s="2" t="s">
        <v>19</v>
      </c>
      <c r="J938" s="2" t="s">
        <v>20</v>
      </c>
      <c r="K938" s="2" t="s">
        <v>97</v>
      </c>
      <c r="L938">
        <v>1</v>
      </c>
      <c r="M938">
        <v>1480.19</v>
      </c>
      <c r="N938">
        <v>1480.19</v>
      </c>
      <c r="O938" t="s">
        <v>36</v>
      </c>
      <c r="P938" s="2" t="s">
        <v>43</v>
      </c>
      <c r="Q938" s="2" t="s">
        <v>41</v>
      </c>
    </row>
    <row r="939" spans="1:17" hidden="1" x14ac:dyDescent="0.3">
      <c r="A939">
        <v>202400153</v>
      </c>
      <c r="B939" s="1">
        <v>45490</v>
      </c>
      <c r="C939">
        <v>2024</v>
      </c>
      <c r="D939">
        <v>3</v>
      </c>
      <c r="E939">
        <v>7</v>
      </c>
      <c r="F939">
        <v>20</v>
      </c>
      <c r="G939" s="2" t="s">
        <v>81</v>
      </c>
      <c r="H939" s="2" t="s">
        <v>69</v>
      </c>
      <c r="I939" s="2" t="s">
        <v>56</v>
      </c>
      <c r="J939" s="2" t="s">
        <v>57</v>
      </c>
      <c r="K939" s="2" t="s">
        <v>52</v>
      </c>
      <c r="L939">
        <v>12</v>
      </c>
      <c r="M939">
        <v>1145.0899999999999</v>
      </c>
      <c r="N939">
        <v>13741.079999999998</v>
      </c>
      <c r="O939" t="s">
        <v>22</v>
      </c>
      <c r="P939" s="2" t="s">
        <v>43</v>
      </c>
      <c r="Q939" s="2" t="s">
        <v>24</v>
      </c>
    </row>
    <row r="940" spans="1:17" hidden="1" x14ac:dyDescent="0.3">
      <c r="A940">
        <v>202401002</v>
      </c>
      <c r="B940" s="1">
        <v>45402</v>
      </c>
      <c r="C940">
        <v>2024</v>
      </c>
      <c r="D940">
        <v>2</v>
      </c>
      <c r="E940">
        <v>4</v>
      </c>
      <c r="F940">
        <v>56</v>
      </c>
      <c r="G940" s="2" t="s">
        <v>130</v>
      </c>
      <c r="H940" s="2" t="s">
        <v>26</v>
      </c>
      <c r="I940" s="2" t="s">
        <v>56</v>
      </c>
      <c r="J940" s="2" t="s">
        <v>57</v>
      </c>
      <c r="K940" s="2" t="s">
        <v>28</v>
      </c>
      <c r="L940">
        <v>2</v>
      </c>
      <c r="M940">
        <v>784.64</v>
      </c>
      <c r="N940">
        <v>1569.28</v>
      </c>
      <c r="O940" t="s">
        <v>36</v>
      </c>
      <c r="P940" s="2" t="s">
        <v>43</v>
      </c>
      <c r="Q940" s="2" t="s">
        <v>24</v>
      </c>
    </row>
    <row r="941" spans="1:17" hidden="1" x14ac:dyDescent="0.3">
      <c r="A941">
        <v>202401157</v>
      </c>
      <c r="B941" s="1">
        <v>45604</v>
      </c>
      <c r="C941">
        <v>2024</v>
      </c>
      <c r="D941">
        <v>4</v>
      </c>
      <c r="E941">
        <v>11</v>
      </c>
      <c r="F941">
        <v>62</v>
      </c>
      <c r="G941" s="2" t="s">
        <v>118</v>
      </c>
      <c r="H941" s="2" t="s">
        <v>18</v>
      </c>
      <c r="I941" s="2" t="s">
        <v>54</v>
      </c>
      <c r="J941" s="2" t="s">
        <v>20</v>
      </c>
      <c r="K941" s="2" t="s">
        <v>50</v>
      </c>
      <c r="L941">
        <v>8</v>
      </c>
      <c r="M941">
        <v>1671.91</v>
      </c>
      <c r="N941">
        <v>13375.28</v>
      </c>
      <c r="O941" t="s">
        <v>29</v>
      </c>
      <c r="P941" s="2" t="s">
        <v>48</v>
      </c>
      <c r="Q941" s="2" t="s">
        <v>40</v>
      </c>
    </row>
    <row r="942" spans="1:17" hidden="1" x14ac:dyDescent="0.3">
      <c r="A942">
        <v>202400510</v>
      </c>
      <c r="B942" s="1">
        <v>45532</v>
      </c>
      <c r="C942">
        <v>2024</v>
      </c>
      <c r="D942">
        <v>3</v>
      </c>
      <c r="E942">
        <v>8</v>
      </c>
      <c r="F942">
        <v>18</v>
      </c>
      <c r="G942" s="2" t="s">
        <v>116</v>
      </c>
      <c r="H942" s="2" t="s">
        <v>62</v>
      </c>
      <c r="I942" s="2" t="s">
        <v>54</v>
      </c>
      <c r="J942" s="2" t="s">
        <v>20</v>
      </c>
      <c r="K942" s="2" t="s">
        <v>58</v>
      </c>
      <c r="L942">
        <v>5</v>
      </c>
      <c r="M942">
        <v>948.11</v>
      </c>
      <c r="N942">
        <v>4740.55</v>
      </c>
      <c r="O942" t="s">
        <v>29</v>
      </c>
      <c r="P942" s="2" t="s">
        <v>43</v>
      </c>
      <c r="Q942" s="2" t="s">
        <v>24</v>
      </c>
    </row>
    <row r="943" spans="1:17" hidden="1" x14ac:dyDescent="0.3">
      <c r="A943">
        <v>202400112</v>
      </c>
      <c r="B943" s="1">
        <v>45544</v>
      </c>
      <c r="C943">
        <v>2024</v>
      </c>
      <c r="D943">
        <v>3</v>
      </c>
      <c r="E943">
        <v>9</v>
      </c>
      <c r="F943">
        <v>24</v>
      </c>
      <c r="G943" s="2" t="s">
        <v>17</v>
      </c>
      <c r="H943" s="2" t="s">
        <v>26</v>
      </c>
      <c r="I943" s="2" t="s">
        <v>56</v>
      </c>
      <c r="J943" s="2" t="s">
        <v>57</v>
      </c>
      <c r="K943" s="2" t="s">
        <v>42</v>
      </c>
      <c r="L943">
        <v>6</v>
      </c>
      <c r="M943">
        <v>507.23</v>
      </c>
      <c r="N943">
        <v>3043.38</v>
      </c>
      <c r="O943" t="s">
        <v>29</v>
      </c>
      <c r="P943" s="2" t="s">
        <v>43</v>
      </c>
      <c r="Q943" s="2" t="s">
        <v>45</v>
      </c>
    </row>
    <row r="944" spans="1:17" hidden="1" x14ac:dyDescent="0.3">
      <c r="A944">
        <v>202400227</v>
      </c>
      <c r="B944" s="1">
        <v>45490</v>
      </c>
      <c r="C944">
        <v>2024</v>
      </c>
      <c r="D944">
        <v>3</v>
      </c>
      <c r="E944">
        <v>7</v>
      </c>
      <c r="F944">
        <v>8</v>
      </c>
      <c r="G944" s="2" t="s">
        <v>63</v>
      </c>
      <c r="H944" s="2" t="s">
        <v>26</v>
      </c>
      <c r="I944" s="2" t="s">
        <v>54</v>
      </c>
      <c r="J944" s="2" t="s">
        <v>20</v>
      </c>
      <c r="K944" s="2" t="s">
        <v>97</v>
      </c>
      <c r="L944">
        <v>3</v>
      </c>
      <c r="M944">
        <v>1134.1400000000001</v>
      </c>
      <c r="N944">
        <v>3402.42</v>
      </c>
      <c r="O944" t="s">
        <v>29</v>
      </c>
      <c r="P944" s="2" t="s">
        <v>48</v>
      </c>
      <c r="Q944" s="2" t="s">
        <v>24</v>
      </c>
    </row>
    <row r="945" spans="1:17" hidden="1" x14ac:dyDescent="0.3">
      <c r="A945">
        <v>202401009</v>
      </c>
      <c r="B945" s="1">
        <v>45438</v>
      </c>
      <c r="C945">
        <v>2024</v>
      </c>
      <c r="D945">
        <v>2</v>
      </c>
      <c r="E945">
        <v>5</v>
      </c>
      <c r="F945">
        <v>78</v>
      </c>
      <c r="G945" s="2" t="s">
        <v>131</v>
      </c>
      <c r="H945" s="2" t="s">
        <v>69</v>
      </c>
      <c r="I945" s="2" t="s">
        <v>19</v>
      </c>
      <c r="J945" s="2" t="s">
        <v>20</v>
      </c>
      <c r="K945" s="2" t="s">
        <v>39</v>
      </c>
      <c r="L945">
        <v>13</v>
      </c>
      <c r="M945">
        <v>359.62</v>
      </c>
      <c r="N945">
        <v>4675.0600000000004</v>
      </c>
      <c r="O945" t="s">
        <v>22</v>
      </c>
      <c r="P945" s="2" t="s">
        <v>43</v>
      </c>
      <c r="Q945" s="2" t="s">
        <v>31</v>
      </c>
    </row>
    <row r="946" spans="1:17" hidden="1" x14ac:dyDescent="0.3">
      <c r="A946">
        <v>202400852</v>
      </c>
      <c r="B946" s="1">
        <v>45466</v>
      </c>
      <c r="C946">
        <v>2024</v>
      </c>
      <c r="D946">
        <v>2</v>
      </c>
      <c r="E946">
        <v>6</v>
      </c>
      <c r="F946">
        <v>58</v>
      </c>
      <c r="G946" s="2" t="s">
        <v>68</v>
      </c>
      <c r="H946" s="2" t="s">
        <v>69</v>
      </c>
      <c r="I946" s="2" t="s">
        <v>85</v>
      </c>
      <c r="J946" s="2" t="s">
        <v>57</v>
      </c>
      <c r="K946" s="2" t="s">
        <v>47</v>
      </c>
      <c r="L946">
        <v>8</v>
      </c>
      <c r="M946">
        <v>847.68</v>
      </c>
      <c r="N946">
        <v>6781.44</v>
      </c>
      <c r="O946" t="s">
        <v>29</v>
      </c>
      <c r="P946" s="2" t="s">
        <v>30</v>
      </c>
      <c r="Q946" s="2" t="s">
        <v>24</v>
      </c>
    </row>
    <row r="947" spans="1:17" x14ac:dyDescent="0.3">
      <c r="A947">
        <v>202400104</v>
      </c>
      <c r="B947" s="1">
        <v>45322</v>
      </c>
      <c r="C947">
        <v>2024</v>
      </c>
      <c r="D947">
        <v>1</v>
      </c>
      <c r="E947">
        <v>1</v>
      </c>
      <c r="F947">
        <v>63</v>
      </c>
      <c r="G947" s="2" t="s">
        <v>64</v>
      </c>
      <c r="H947" s="2" t="s">
        <v>69</v>
      </c>
      <c r="I947" s="2" t="s">
        <v>65</v>
      </c>
      <c r="J947" s="2" t="s">
        <v>34</v>
      </c>
      <c r="K947" s="2" t="s">
        <v>28</v>
      </c>
      <c r="L947">
        <v>9</v>
      </c>
      <c r="M947">
        <v>547.70000000000005</v>
      </c>
      <c r="N947">
        <v>4929.3</v>
      </c>
      <c r="O947" t="s">
        <v>29</v>
      </c>
      <c r="P947" s="2" t="s">
        <v>30</v>
      </c>
      <c r="Q947" s="2" t="s">
        <v>24</v>
      </c>
    </row>
    <row r="948" spans="1:17" hidden="1" x14ac:dyDescent="0.3">
      <c r="A948">
        <v>202400422</v>
      </c>
      <c r="B948" s="1">
        <v>45607</v>
      </c>
      <c r="C948">
        <v>2024</v>
      </c>
      <c r="D948">
        <v>4</v>
      </c>
      <c r="E948">
        <v>11</v>
      </c>
      <c r="F948">
        <v>79</v>
      </c>
      <c r="G948" s="2" t="s">
        <v>108</v>
      </c>
      <c r="H948" s="2" t="s">
        <v>69</v>
      </c>
      <c r="I948" s="2" t="s">
        <v>85</v>
      </c>
      <c r="J948" s="2" t="s">
        <v>57</v>
      </c>
      <c r="K948" s="2" t="s">
        <v>42</v>
      </c>
      <c r="L948">
        <v>10</v>
      </c>
      <c r="M948">
        <v>1982.38</v>
      </c>
      <c r="N948">
        <v>19823.800000000003</v>
      </c>
      <c r="O948" t="s">
        <v>22</v>
      </c>
      <c r="P948" s="2" t="s">
        <v>30</v>
      </c>
      <c r="Q948" s="2" t="s">
        <v>24</v>
      </c>
    </row>
    <row r="949" spans="1:17" hidden="1" x14ac:dyDescent="0.3">
      <c r="A949">
        <v>202400420</v>
      </c>
      <c r="B949" s="1">
        <v>45496</v>
      </c>
      <c r="C949">
        <v>2024</v>
      </c>
      <c r="D949">
        <v>3</v>
      </c>
      <c r="E949">
        <v>7</v>
      </c>
      <c r="F949">
        <v>67</v>
      </c>
      <c r="G949" s="2" t="s">
        <v>124</v>
      </c>
      <c r="H949" s="2" t="s">
        <v>69</v>
      </c>
      <c r="I949" s="2" t="s">
        <v>54</v>
      </c>
      <c r="J949" s="2" t="s">
        <v>20</v>
      </c>
      <c r="K949" s="2" t="s">
        <v>59</v>
      </c>
      <c r="L949">
        <v>5</v>
      </c>
      <c r="M949">
        <v>212.34</v>
      </c>
      <c r="N949">
        <v>1061.7</v>
      </c>
      <c r="O949" t="s">
        <v>29</v>
      </c>
      <c r="P949" s="2" t="s">
        <v>30</v>
      </c>
      <c r="Q949" s="2" t="s">
        <v>24</v>
      </c>
    </row>
    <row r="950" spans="1:17" hidden="1" x14ac:dyDescent="0.3">
      <c r="A950">
        <v>202400968</v>
      </c>
      <c r="B950" s="1">
        <v>45612</v>
      </c>
      <c r="C950">
        <v>2024</v>
      </c>
      <c r="D950">
        <v>4</v>
      </c>
      <c r="E950">
        <v>11</v>
      </c>
      <c r="F950">
        <v>2</v>
      </c>
      <c r="G950" s="2" t="s">
        <v>32</v>
      </c>
      <c r="H950" s="2" t="s">
        <v>140</v>
      </c>
      <c r="I950" s="2" t="s">
        <v>33</v>
      </c>
      <c r="J950" s="2" t="s">
        <v>34</v>
      </c>
      <c r="K950" s="2" t="s">
        <v>47</v>
      </c>
      <c r="L950">
        <v>13</v>
      </c>
      <c r="M950">
        <v>1691.79</v>
      </c>
      <c r="N950">
        <v>21993.27</v>
      </c>
      <c r="O950" t="s">
        <v>22</v>
      </c>
      <c r="P950" s="2" t="s">
        <v>30</v>
      </c>
      <c r="Q950" s="2" t="s">
        <v>24</v>
      </c>
    </row>
    <row r="951" spans="1:17" hidden="1" x14ac:dyDescent="0.3">
      <c r="A951">
        <v>202400625</v>
      </c>
      <c r="B951" s="1">
        <v>45577</v>
      </c>
      <c r="C951">
        <v>2024</v>
      </c>
      <c r="D951">
        <v>4</v>
      </c>
      <c r="E951">
        <v>10</v>
      </c>
      <c r="F951">
        <v>66</v>
      </c>
      <c r="G951" s="2" t="s">
        <v>107</v>
      </c>
      <c r="H951" s="2" t="s">
        <v>69</v>
      </c>
      <c r="I951" s="2" t="s">
        <v>78</v>
      </c>
      <c r="J951" s="2" t="s">
        <v>75</v>
      </c>
      <c r="K951" s="2" t="s">
        <v>58</v>
      </c>
      <c r="L951">
        <v>1</v>
      </c>
      <c r="M951">
        <v>493.91</v>
      </c>
      <c r="N951">
        <v>493.91</v>
      </c>
      <c r="O951" t="s">
        <v>36</v>
      </c>
      <c r="P951" s="2" t="s">
        <v>48</v>
      </c>
      <c r="Q951" s="2" t="s">
        <v>31</v>
      </c>
    </row>
    <row r="952" spans="1:17" hidden="1" x14ac:dyDescent="0.3">
      <c r="A952">
        <v>202400587</v>
      </c>
      <c r="B952" s="1">
        <v>45560</v>
      </c>
      <c r="C952">
        <v>2024</v>
      </c>
      <c r="D952">
        <v>3</v>
      </c>
      <c r="E952">
        <v>9</v>
      </c>
      <c r="F952">
        <v>8</v>
      </c>
      <c r="G952" s="2" t="s">
        <v>63</v>
      </c>
      <c r="H952" s="2" t="s">
        <v>26</v>
      </c>
      <c r="I952" s="2" t="s">
        <v>54</v>
      </c>
      <c r="J952" s="2" t="s">
        <v>20</v>
      </c>
      <c r="K952" s="2" t="s">
        <v>58</v>
      </c>
      <c r="L952">
        <v>14</v>
      </c>
      <c r="M952">
        <v>279.33</v>
      </c>
      <c r="N952">
        <v>3910.62</v>
      </c>
      <c r="O952" t="s">
        <v>22</v>
      </c>
      <c r="P952" s="2" t="s">
        <v>43</v>
      </c>
      <c r="Q952" s="2" t="s">
        <v>40</v>
      </c>
    </row>
    <row r="953" spans="1:17" hidden="1" x14ac:dyDescent="0.3">
      <c r="A953">
        <v>202401112</v>
      </c>
      <c r="B953" s="1">
        <v>45472</v>
      </c>
      <c r="C953">
        <v>2024</v>
      </c>
      <c r="D953">
        <v>2</v>
      </c>
      <c r="E953">
        <v>6</v>
      </c>
      <c r="F953">
        <v>41</v>
      </c>
      <c r="G953" s="2" t="s">
        <v>99</v>
      </c>
      <c r="H953" s="2" t="s">
        <v>18</v>
      </c>
      <c r="I953" s="2" t="s">
        <v>78</v>
      </c>
      <c r="J953" s="2" t="s">
        <v>75</v>
      </c>
      <c r="K953" s="2" t="s">
        <v>28</v>
      </c>
      <c r="L953">
        <v>12</v>
      </c>
      <c r="M953">
        <v>158.04</v>
      </c>
      <c r="N953">
        <v>1896.48</v>
      </c>
      <c r="O953" t="s">
        <v>22</v>
      </c>
      <c r="P953" s="2" t="s">
        <v>23</v>
      </c>
      <c r="Q953" s="2" t="s">
        <v>40</v>
      </c>
    </row>
    <row r="954" spans="1:17" hidden="1" x14ac:dyDescent="0.3">
      <c r="A954">
        <v>202400920</v>
      </c>
      <c r="B954" s="1">
        <v>45467</v>
      </c>
      <c r="C954">
        <v>2024</v>
      </c>
      <c r="D954">
        <v>2</v>
      </c>
      <c r="E954">
        <v>6</v>
      </c>
      <c r="F954">
        <v>76</v>
      </c>
      <c r="G954" s="2" t="s">
        <v>104</v>
      </c>
      <c r="H954" s="2" t="s">
        <v>140</v>
      </c>
      <c r="I954" s="2" t="s">
        <v>33</v>
      </c>
      <c r="J954" s="2" t="s">
        <v>34</v>
      </c>
      <c r="K954" s="2" t="s">
        <v>47</v>
      </c>
      <c r="L954">
        <v>13</v>
      </c>
      <c r="M954">
        <v>164.04</v>
      </c>
      <c r="N954">
        <v>2132.52</v>
      </c>
      <c r="O954" t="s">
        <v>22</v>
      </c>
      <c r="P954" s="2" t="s">
        <v>48</v>
      </c>
      <c r="Q954" s="2" t="s">
        <v>24</v>
      </c>
    </row>
    <row r="955" spans="1:17" x14ac:dyDescent="0.3">
      <c r="A955">
        <v>202400673</v>
      </c>
      <c r="B955" s="1">
        <v>45376</v>
      </c>
      <c r="C955">
        <v>2024</v>
      </c>
      <c r="D955">
        <v>1</v>
      </c>
      <c r="E955">
        <v>3</v>
      </c>
      <c r="F955">
        <v>35</v>
      </c>
      <c r="G955" s="2" t="s">
        <v>99</v>
      </c>
      <c r="H955" s="2" t="s">
        <v>140</v>
      </c>
      <c r="I955" s="2" t="s">
        <v>27</v>
      </c>
      <c r="J955" s="2" t="s">
        <v>20</v>
      </c>
      <c r="K955" s="2" t="s">
        <v>35</v>
      </c>
      <c r="L955">
        <v>10</v>
      </c>
      <c r="M955">
        <v>1543.09</v>
      </c>
      <c r="N955">
        <v>15430.9</v>
      </c>
      <c r="O955" t="s">
        <v>22</v>
      </c>
      <c r="P955" s="2" t="s">
        <v>30</v>
      </c>
      <c r="Q955" s="2" t="s">
        <v>31</v>
      </c>
    </row>
    <row r="956" spans="1:17" hidden="1" x14ac:dyDescent="0.3">
      <c r="A956">
        <v>202400120</v>
      </c>
      <c r="B956" s="1">
        <v>45516</v>
      </c>
      <c r="C956">
        <v>2024</v>
      </c>
      <c r="D956">
        <v>3</v>
      </c>
      <c r="E956">
        <v>8</v>
      </c>
      <c r="F956">
        <v>71</v>
      </c>
      <c r="G956" s="2" t="s">
        <v>80</v>
      </c>
      <c r="H956" s="2" t="s">
        <v>18</v>
      </c>
      <c r="I956" s="2" t="s">
        <v>65</v>
      </c>
      <c r="J956" s="2" t="s">
        <v>34</v>
      </c>
      <c r="K956" s="2" t="s">
        <v>51</v>
      </c>
      <c r="L956">
        <v>12</v>
      </c>
      <c r="M956">
        <v>633.46</v>
      </c>
      <c r="N956">
        <v>7601.52</v>
      </c>
      <c r="O956" t="s">
        <v>22</v>
      </c>
      <c r="P956" s="2" t="s">
        <v>43</v>
      </c>
      <c r="Q956" s="2" t="s">
        <v>31</v>
      </c>
    </row>
    <row r="957" spans="1:17" hidden="1" x14ac:dyDescent="0.3">
      <c r="A957">
        <v>202400054</v>
      </c>
      <c r="B957" s="1">
        <v>45415</v>
      </c>
      <c r="C957">
        <v>2024</v>
      </c>
      <c r="D957">
        <v>2</v>
      </c>
      <c r="E957">
        <v>5</v>
      </c>
      <c r="F957">
        <v>65</v>
      </c>
      <c r="G957" s="2" t="s">
        <v>112</v>
      </c>
      <c r="H957" s="2" t="s">
        <v>69</v>
      </c>
      <c r="I957" s="2" t="s">
        <v>19</v>
      </c>
      <c r="J957" s="2" t="s">
        <v>20</v>
      </c>
      <c r="K957" s="2" t="s">
        <v>70</v>
      </c>
      <c r="L957">
        <v>7</v>
      </c>
      <c r="M957">
        <v>541.58000000000004</v>
      </c>
      <c r="N957">
        <v>3791.0600000000004</v>
      </c>
      <c r="O957" t="s">
        <v>29</v>
      </c>
      <c r="P957" s="2" t="s">
        <v>43</v>
      </c>
      <c r="Q957" s="2" t="s">
        <v>24</v>
      </c>
    </row>
    <row r="958" spans="1:17" hidden="1" x14ac:dyDescent="0.3">
      <c r="A958">
        <v>202400152</v>
      </c>
      <c r="B958" s="1">
        <v>45464</v>
      </c>
      <c r="C958">
        <v>2024</v>
      </c>
      <c r="D958">
        <v>2</v>
      </c>
      <c r="E958">
        <v>6</v>
      </c>
      <c r="F958">
        <v>13</v>
      </c>
      <c r="G958" s="2" t="s">
        <v>72</v>
      </c>
      <c r="H958" s="2" t="s">
        <v>69</v>
      </c>
      <c r="I958" s="2" t="s">
        <v>38</v>
      </c>
      <c r="J958" s="2" t="s">
        <v>20</v>
      </c>
      <c r="K958" s="2" t="s">
        <v>39</v>
      </c>
      <c r="L958">
        <v>6</v>
      </c>
      <c r="M958">
        <v>1635.38</v>
      </c>
      <c r="N958">
        <v>9812.2800000000007</v>
      </c>
      <c r="O958" t="s">
        <v>29</v>
      </c>
      <c r="P958" s="2" t="s">
        <v>30</v>
      </c>
      <c r="Q958" s="2" t="s">
        <v>24</v>
      </c>
    </row>
    <row r="959" spans="1:17" hidden="1" x14ac:dyDescent="0.3">
      <c r="A959">
        <v>202400404</v>
      </c>
      <c r="B959" s="1">
        <v>45647</v>
      </c>
      <c r="C959">
        <v>2024</v>
      </c>
      <c r="D959">
        <v>4</v>
      </c>
      <c r="E959">
        <v>12</v>
      </c>
      <c r="F959">
        <v>38</v>
      </c>
      <c r="G959" s="2" t="s">
        <v>92</v>
      </c>
      <c r="H959" s="2" t="s">
        <v>18</v>
      </c>
      <c r="I959" s="2" t="s">
        <v>78</v>
      </c>
      <c r="J959" s="2" t="s">
        <v>75</v>
      </c>
      <c r="K959" s="2" t="s">
        <v>42</v>
      </c>
      <c r="L959">
        <v>8</v>
      </c>
      <c r="M959">
        <v>142.41</v>
      </c>
      <c r="N959">
        <v>1139.28</v>
      </c>
      <c r="O959" t="s">
        <v>29</v>
      </c>
      <c r="P959" s="2" t="s">
        <v>43</v>
      </c>
      <c r="Q959" s="2" t="s">
        <v>40</v>
      </c>
    </row>
    <row r="960" spans="1:17" hidden="1" x14ac:dyDescent="0.3">
      <c r="A960">
        <v>202400208</v>
      </c>
      <c r="B960" s="1">
        <v>45390</v>
      </c>
      <c r="C960">
        <v>2024</v>
      </c>
      <c r="D960">
        <v>2</v>
      </c>
      <c r="E960">
        <v>4</v>
      </c>
      <c r="F960">
        <v>62</v>
      </c>
      <c r="G960" s="2" t="s">
        <v>118</v>
      </c>
      <c r="H960" s="2" t="s">
        <v>18</v>
      </c>
      <c r="I960" s="2" t="s">
        <v>54</v>
      </c>
      <c r="J960" s="2" t="s">
        <v>20</v>
      </c>
      <c r="K960" s="2" t="s">
        <v>71</v>
      </c>
      <c r="L960">
        <v>2</v>
      </c>
      <c r="M960">
        <v>1718.48</v>
      </c>
      <c r="N960">
        <v>3436.96</v>
      </c>
      <c r="O960" t="s">
        <v>36</v>
      </c>
      <c r="P960" s="2" t="s">
        <v>43</v>
      </c>
      <c r="Q960" s="2" t="s">
        <v>24</v>
      </c>
    </row>
    <row r="961" spans="1:17" hidden="1" x14ac:dyDescent="0.3">
      <c r="A961">
        <v>202401146</v>
      </c>
      <c r="B961" s="1">
        <v>45472</v>
      </c>
      <c r="C961">
        <v>2024</v>
      </c>
      <c r="D961">
        <v>2</v>
      </c>
      <c r="E961">
        <v>6</v>
      </c>
      <c r="F961">
        <v>47</v>
      </c>
      <c r="G961" s="2" t="s">
        <v>120</v>
      </c>
      <c r="H961" s="2" t="s">
        <v>140</v>
      </c>
      <c r="I961" s="2" t="s">
        <v>38</v>
      </c>
      <c r="J961" s="2" t="s">
        <v>20</v>
      </c>
      <c r="K961" s="2" t="s">
        <v>59</v>
      </c>
      <c r="L961">
        <v>9</v>
      </c>
      <c r="M961">
        <v>758.78</v>
      </c>
      <c r="N961">
        <v>6829.0199999999995</v>
      </c>
      <c r="O961" t="s">
        <v>29</v>
      </c>
      <c r="P961" s="2" t="s">
        <v>48</v>
      </c>
      <c r="Q961" s="2" t="s">
        <v>24</v>
      </c>
    </row>
    <row r="962" spans="1:17" x14ac:dyDescent="0.3">
      <c r="A962">
        <v>202400659</v>
      </c>
      <c r="B962" s="1">
        <v>45317</v>
      </c>
      <c r="C962">
        <v>2024</v>
      </c>
      <c r="D962">
        <v>1</v>
      </c>
      <c r="E962">
        <v>1</v>
      </c>
      <c r="F962">
        <v>45</v>
      </c>
      <c r="G962" s="2" t="s">
        <v>103</v>
      </c>
      <c r="H962" s="2" t="s">
        <v>26</v>
      </c>
      <c r="I962" s="2" t="s">
        <v>56</v>
      </c>
      <c r="J962" s="2" t="s">
        <v>57</v>
      </c>
      <c r="K962" s="2" t="s">
        <v>59</v>
      </c>
      <c r="L962">
        <v>12</v>
      </c>
      <c r="M962">
        <v>713.08</v>
      </c>
      <c r="N962">
        <v>8556.9600000000009</v>
      </c>
      <c r="O962" t="s">
        <v>22</v>
      </c>
      <c r="P962" s="2" t="s">
        <v>43</v>
      </c>
      <c r="Q962" s="2" t="s">
        <v>24</v>
      </c>
    </row>
    <row r="963" spans="1:17" hidden="1" x14ac:dyDescent="0.3">
      <c r="A963">
        <v>202401108</v>
      </c>
      <c r="B963" s="1">
        <v>45417</v>
      </c>
      <c r="C963">
        <v>2024</v>
      </c>
      <c r="D963">
        <v>2</v>
      </c>
      <c r="E963">
        <v>5</v>
      </c>
      <c r="F963">
        <v>22</v>
      </c>
      <c r="G963" s="2" t="s">
        <v>79</v>
      </c>
      <c r="H963" s="2" t="s">
        <v>18</v>
      </c>
      <c r="I963" s="2" t="s">
        <v>65</v>
      </c>
      <c r="J963" s="2" t="s">
        <v>34</v>
      </c>
      <c r="K963" s="2" t="s">
        <v>51</v>
      </c>
      <c r="L963">
        <v>7</v>
      </c>
      <c r="M963">
        <v>1961.37</v>
      </c>
      <c r="N963">
        <v>13729.59</v>
      </c>
      <c r="O963" t="s">
        <v>29</v>
      </c>
      <c r="P963" s="2" t="s">
        <v>43</v>
      </c>
      <c r="Q963" s="2" t="s">
        <v>24</v>
      </c>
    </row>
    <row r="964" spans="1:17" x14ac:dyDescent="0.3">
      <c r="A964">
        <v>202400233</v>
      </c>
      <c r="B964" s="1">
        <v>45362</v>
      </c>
      <c r="C964">
        <v>2024</v>
      </c>
      <c r="D964">
        <v>1</v>
      </c>
      <c r="E964">
        <v>3</v>
      </c>
      <c r="F964">
        <v>46</v>
      </c>
      <c r="G964" s="2" t="s">
        <v>88</v>
      </c>
      <c r="H964" s="2" t="s">
        <v>26</v>
      </c>
      <c r="I964" s="2" t="s">
        <v>85</v>
      </c>
      <c r="J964" s="2" t="s">
        <v>57</v>
      </c>
      <c r="K964" s="2" t="s">
        <v>28</v>
      </c>
      <c r="L964">
        <v>6</v>
      </c>
      <c r="M964">
        <v>705.13</v>
      </c>
      <c r="N964">
        <v>4230.78</v>
      </c>
      <c r="O964" t="s">
        <v>29</v>
      </c>
      <c r="P964" s="2" t="s">
        <v>43</v>
      </c>
      <c r="Q964" s="2" t="s">
        <v>31</v>
      </c>
    </row>
    <row r="965" spans="1:17" hidden="1" x14ac:dyDescent="0.3">
      <c r="A965">
        <v>202400009</v>
      </c>
      <c r="B965" s="1">
        <v>45632</v>
      </c>
      <c r="C965">
        <v>2024</v>
      </c>
      <c r="D965">
        <v>4</v>
      </c>
      <c r="E965">
        <v>12</v>
      </c>
      <c r="F965">
        <v>6</v>
      </c>
      <c r="G965" s="2" t="s">
        <v>55</v>
      </c>
      <c r="H965" s="2" t="s">
        <v>26</v>
      </c>
      <c r="I965" s="2" t="s">
        <v>56</v>
      </c>
      <c r="J965" s="2" t="s">
        <v>57</v>
      </c>
      <c r="K965" s="2" t="s">
        <v>51</v>
      </c>
      <c r="L965">
        <v>5</v>
      </c>
      <c r="M965">
        <v>1516.16</v>
      </c>
      <c r="N965">
        <v>7580.8</v>
      </c>
      <c r="O965" t="s">
        <v>29</v>
      </c>
      <c r="P965" s="2" t="s">
        <v>30</v>
      </c>
      <c r="Q965" s="2" t="s">
        <v>24</v>
      </c>
    </row>
    <row r="966" spans="1:17" hidden="1" x14ac:dyDescent="0.3">
      <c r="A966">
        <v>202400160</v>
      </c>
      <c r="B966" s="1">
        <v>45627</v>
      </c>
      <c r="C966">
        <v>2024</v>
      </c>
      <c r="D966">
        <v>4</v>
      </c>
      <c r="E966">
        <v>12</v>
      </c>
      <c r="F966">
        <v>74</v>
      </c>
      <c r="G966" s="2" t="s">
        <v>102</v>
      </c>
      <c r="H966" s="2" t="s">
        <v>140</v>
      </c>
      <c r="I966" s="2" t="s">
        <v>27</v>
      </c>
      <c r="J966" s="2" t="s">
        <v>20</v>
      </c>
      <c r="K966" s="2" t="s">
        <v>71</v>
      </c>
      <c r="L966">
        <v>2</v>
      </c>
      <c r="M966">
        <v>1872.99</v>
      </c>
      <c r="N966">
        <v>3745.98</v>
      </c>
      <c r="O966" t="s">
        <v>36</v>
      </c>
      <c r="P966" s="2" t="s">
        <v>23</v>
      </c>
      <c r="Q966" s="2" t="s">
        <v>24</v>
      </c>
    </row>
    <row r="967" spans="1:17" hidden="1" x14ac:dyDescent="0.3">
      <c r="A967">
        <v>202400037</v>
      </c>
      <c r="B967" s="1">
        <v>45579</v>
      </c>
      <c r="C967">
        <v>2024</v>
      </c>
      <c r="D967">
        <v>4</v>
      </c>
      <c r="E967">
        <v>10</v>
      </c>
      <c r="F967">
        <v>79</v>
      </c>
      <c r="G967" s="2" t="s">
        <v>108</v>
      </c>
      <c r="H967" s="2" t="s">
        <v>69</v>
      </c>
      <c r="I967" s="2" t="s">
        <v>85</v>
      </c>
      <c r="J967" s="2" t="s">
        <v>57</v>
      </c>
      <c r="K967" s="2" t="s">
        <v>21</v>
      </c>
      <c r="L967">
        <v>13</v>
      </c>
      <c r="M967">
        <v>1914.73</v>
      </c>
      <c r="N967">
        <v>24891.49</v>
      </c>
      <c r="O967" t="s">
        <v>22</v>
      </c>
      <c r="P967" s="2" t="s">
        <v>23</v>
      </c>
      <c r="Q967" s="2" t="s">
        <v>24</v>
      </c>
    </row>
    <row r="968" spans="1:17" hidden="1" x14ac:dyDescent="0.3">
      <c r="A968">
        <v>202400453</v>
      </c>
      <c r="B968" s="1">
        <v>45471</v>
      </c>
      <c r="C968">
        <v>2024</v>
      </c>
      <c r="D968">
        <v>2</v>
      </c>
      <c r="E968">
        <v>6</v>
      </c>
      <c r="F968">
        <v>37</v>
      </c>
      <c r="G968" s="2" t="s">
        <v>96</v>
      </c>
      <c r="H968" s="2" t="s">
        <v>62</v>
      </c>
      <c r="I968" s="2" t="s">
        <v>56</v>
      </c>
      <c r="J968" s="2" t="s">
        <v>57</v>
      </c>
      <c r="K968" s="2" t="s">
        <v>59</v>
      </c>
      <c r="L968">
        <v>1</v>
      </c>
      <c r="M968">
        <v>470.07</v>
      </c>
      <c r="N968">
        <v>470.07</v>
      </c>
      <c r="O968" t="s">
        <v>36</v>
      </c>
      <c r="P968" s="2" t="s">
        <v>30</v>
      </c>
      <c r="Q968" s="2" t="s">
        <v>24</v>
      </c>
    </row>
    <row r="969" spans="1:17" x14ac:dyDescent="0.3">
      <c r="A969">
        <v>202400652</v>
      </c>
      <c r="B969" s="1">
        <v>45312</v>
      </c>
      <c r="C969">
        <v>2024</v>
      </c>
      <c r="D969">
        <v>1</v>
      </c>
      <c r="E969">
        <v>1</v>
      </c>
      <c r="F969">
        <v>62</v>
      </c>
      <c r="G969" s="2" t="s">
        <v>118</v>
      </c>
      <c r="H969" s="2" t="s">
        <v>18</v>
      </c>
      <c r="I969" s="2" t="s">
        <v>54</v>
      </c>
      <c r="J969" s="2" t="s">
        <v>20</v>
      </c>
      <c r="K969" s="2" t="s">
        <v>52</v>
      </c>
      <c r="L969">
        <v>4</v>
      </c>
      <c r="M969">
        <v>877.59</v>
      </c>
      <c r="N969">
        <v>3510.36</v>
      </c>
      <c r="O969" t="s">
        <v>29</v>
      </c>
      <c r="P969" s="2" t="s">
        <v>48</v>
      </c>
      <c r="Q969" s="2" t="s">
        <v>40</v>
      </c>
    </row>
    <row r="970" spans="1:17" x14ac:dyDescent="0.3">
      <c r="A970">
        <v>202400254</v>
      </c>
      <c r="B970" s="1">
        <v>45380</v>
      </c>
      <c r="C970">
        <v>2024</v>
      </c>
      <c r="D970">
        <v>1</v>
      </c>
      <c r="E970">
        <v>3</v>
      </c>
      <c r="F970">
        <v>71</v>
      </c>
      <c r="G970" s="2" t="s">
        <v>80</v>
      </c>
      <c r="H970" s="2" t="s">
        <v>18</v>
      </c>
      <c r="I970" s="2" t="s">
        <v>65</v>
      </c>
      <c r="J970" s="2" t="s">
        <v>34</v>
      </c>
      <c r="K970" s="2" t="s">
        <v>50</v>
      </c>
      <c r="L970">
        <v>4</v>
      </c>
      <c r="M970">
        <v>273.69</v>
      </c>
      <c r="N970">
        <v>1094.76</v>
      </c>
      <c r="O970" t="s">
        <v>29</v>
      </c>
      <c r="P970" s="2" t="s">
        <v>48</v>
      </c>
      <c r="Q970" s="2" t="s">
        <v>24</v>
      </c>
    </row>
    <row r="971" spans="1:17" hidden="1" x14ac:dyDescent="0.3">
      <c r="A971">
        <v>202400304</v>
      </c>
      <c r="B971" s="1">
        <v>45488</v>
      </c>
      <c r="C971">
        <v>2024</v>
      </c>
      <c r="D971">
        <v>3</v>
      </c>
      <c r="E971">
        <v>7</v>
      </c>
      <c r="F971">
        <v>12</v>
      </c>
      <c r="G971" s="2" t="s">
        <v>119</v>
      </c>
      <c r="H971" s="2" t="s">
        <v>26</v>
      </c>
      <c r="I971" s="2" t="s">
        <v>67</v>
      </c>
      <c r="J971" s="2" t="s">
        <v>20</v>
      </c>
      <c r="K971" s="2" t="s">
        <v>47</v>
      </c>
      <c r="L971">
        <v>4</v>
      </c>
      <c r="M971">
        <v>1365.93</v>
      </c>
      <c r="N971">
        <v>5463.72</v>
      </c>
      <c r="O971" t="s">
        <v>29</v>
      </c>
      <c r="P971" s="2" t="s">
        <v>30</v>
      </c>
      <c r="Q971" s="2" t="s">
        <v>24</v>
      </c>
    </row>
    <row r="972" spans="1:17" hidden="1" x14ac:dyDescent="0.3">
      <c r="A972">
        <v>202400897</v>
      </c>
      <c r="B972" s="1">
        <v>45654</v>
      </c>
      <c r="C972">
        <v>2024</v>
      </c>
      <c r="D972">
        <v>4</v>
      </c>
      <c r="E972">
        <v>12</v>
      </c>
      <c r="F972">
        <v>78</v>
      </c>
      <c r="G972" s="2" t="s">
        <v>131</v>
      </c>
      <c r="H972" s="2" t="s">
        <v>69</v>
      </c>
      <c r="I972" s="2" t="s">
        <v>19</v>
      </c>
      <c r="J972" s="2" t="s">
        <v>20</v>
      </c>
      <c r="K972" s="2" t="s">
        <v>42</v>
      </c>
      <c r="L972">
        <v>6</v>
      </c>
      <c r="M972">
        <v>1261.1099999999999</v>
      </c>
      <c r="N972">
        <v>7566.66</v>
      </c>
      <c r="O972" t="s">
        <v>29</v>
      </c>
      <c r="P972" s="2" t="s">
        <v>23</v>
      </c>
      <c r="Q972" s="2" t="s">
        <v>31</v>
      </c>
    </row>
    <row r="973" spans="1:17" hidden="1" x14ac:dyDescent="0.3">
      <c r="A973">
        <v>202401187</v>
      </c>
      <c r="B973" s="1">
        <v>45446</v>
      </c>
      <c r="C973">
        <v>2024</v>
      </c>
      <c r="D973">
        <v>2</v>
      </c>
      <c r="E973">
        <v>6</v>
      </c>
      <c r="F973">
        <v>64</v>
      </c>
      <c r="G973" s="2" t="s">
        <v>106</v>
      </c>
      <c r="H973" s="2" t="s">
        <v>26</v>
      </c>
      <c r="I973" s="2" t="s">
        <v>27</v>
      </c>
      <c r="J973" s="2" t="s">
        <v>20</v>
      </c>
      <c r="K973" s="2" t="s">
        <v>52</v>
      </c>
      <c r="L973">
        <v>1</v>
      </c>
      <c r="M973">
        <v>1845.61</v>
      </c>
      <c r="N973">
        <v>1845.61</v>
      </c>
      <c r="O973" t="s">
        <v>36</v>
      </c>
      <c r="P973" s="2" t="s">
        <v>30</v>
      </c>
      <c r="Q973" s="2" t="s">
        <v>24</v>
      </c>
    </row>
    <row r="974" spans="1:17" hidden="1" x14ac:dyDescent="0.3">
      <c r="A974">
        <v>202400881</v>
      </c>
      <c r="B974" s="1">
        <v>45608</v>
      </c>
      <c r="C974">
        <v>2024</v>
      </c>
      <c r="D974">
        <v>4</v>
      </c>
      <c r="E974">
        <v>11</v>
      </c>
      <c r="F974">
        <v>75</v>
      </c>
      <c r="G974" s="2" t="s">
        <v>84</v>
      </c>
      <c r="H974" s="2" t="s">
        <v>62</v>
      </c>
      <c r="I974" s="2" t="s">
        <v>85</v>
      </c>
      <c r="J974" s="2" t="s">
        <v>57</v>
      </c>
      <c r="K974" s="2" t="s">
        <v>47</v>
      </c>
      <c r="L974">
        <v>3</v>
      </c>
      <c r="M974">
        <v>144.53</v>
      </c>
      <c r="N974">
        <v>433.59000000000003</v>
      </c>
      <c r="O974" t="s">
        <v>29</v>
      </c>
      <c r="P974" s="2" t="s">
        <v>30</v>
      </c>
      <c r="Q974" s="2" t="s">
        <v>31</v>
      </c>
    </row>
    <row r="975" spans="1:17" hidden="1" x14ac:dyDescent="0.3">
      <c r="A975">
        <v>202400572</v>
      </c>
      <c r="B975" s="1">
        <v>45479</v>
      </c>
      <c r="C975">
        <v>2024</v>
      </c>
      <c r="D975">
        <v>3</v>
      </c>
      <c r="E975">
        <v>7</v>
      </c>
      <c r="F975">
        <v>7</v>
      </c>
      <c r="G975" s="2" t="s">
        <v>25</v>
      </c>
      <c r="H975" s="2" t="s">
        <v>26</v>
      </c>
      <c r="I975" s="2" t="s">
        <v>27</v>
      </c>
      <c r="J975" s="2" t="s">
        <v>20</v>
      </c>
      <c r="K975" s="2" t="s">
        <v>50</v>
      </c>
      <c r="L975">
        <v>12</v>
      </c>
      <c r="M975">
        <v>1913.98</v>
      </c>
      <c r="N975">
        <v>22967.760000000002</v>
      </c>
      <c r="O975" t="s">
        <v>22</v>
      </c>
      <c r="P975" s="2" t="s">
        <v>30</v>
      </c>
      <c r="Q975" s="2" t="s">
        <v>41</v>
      </c>
    </row>
    <row r="976" spans="1:17" hidden="1" x14ac:dyDescent="0.3">
      <c r="A976">
        <v>202401012</v>
      </c>
      <c r="B976" s="1">
        <v>45639</v>
      </c>
      <c r="C976">
        <v>2024</v>
      </c>
      <c r="D976">
        <v>4</v>
      </c>
      <c r="E976">
        <v>12</v>
      </c>
      <c r="F976">
        <v>56</v>
      </c>
      <c r="G976" s="2" t="s">
        <v>130</v>
      </c>
      <c r="H976" s="2" t="s">
        <v>26</v>
      </c>
      <c r="I976" s="2" t="s">
        <v>56</v>
      </c>
      <c r="J976" s="2" t="s">
        <v>57</v>
      </c>
      <c r="K976" s="2" t="s">
        <v>51</v>
      </c>
      <c r="L976">
        <v>9</v>
      </c>
      <c r="M976">
        <v>339.86</v>
      </c>
      <c r="N976">
        <v>3058.7400000000002</v>
      </c>
      <c r="O976" t="s">
        <v>29</v>
      </c>
      <c r="P976" s="2" t="s">
        <v>43</v>
      </c>
      <c r="Q976" s="2" t="s">
        <v>24</v>
      </c>
    </row>
    <row r="977" spans="1:17" hidden="1" x14ac:dyDescent="0.3">
      <c r="A977">
        <v>202400624</v>
      </c>
      <c r="B977" s="1">
        <v>45651</v>
      </c>
      <c r="C977">
        <v>2024</v>
      </c>
      <c r="D977">
        <v>4</v>
      </c>
      <c r="E977">
        <v>12</v>
      </c>
      <c r="F977">
        <v>52</v>
      </c>
      <c r="G977" s="2" t="s">
        <v>105</v>
      </c>
      <c r="H977" s="2" t="s">
        <v>62</v>
      </c>
      <c r="I977" s="2" t="s">
        <v>78</v>
      </c>
      <c r="J977" s="2" t="s">
        <v>75</v>
      </c>
      <c r="K977" s="2" t="s">
        <v>28</v>
      </c>
      <c r="L977">
        <v>2</v>
      </c>
      <c r="M977">
        <v>688.05</v>
      </c>
      <c r="N977">
        <v>1376.1</v>
      </c>
      <c r="O977" t="s">
        <v>36</v>
      </c>
      <c r="P977" s="2" t="s">
        <v>30</v>
      </c>
      <c r="Q977" s="2" t="s">
        <v>41</v>
      </c>
    </row>
    <row r="978" spans="1:17" hidden="1" x14ac:dyDescent="0.3">
      <c r="A978">
        <v>202400346</v>
      </c>
      <c r="B978" s="1">
        <v>45650</v>
      </c>
      <c r="C978">
        <v>2024</v>
      </c>
      <c r="D978">
        <v>4</v>
      </c>
      <c r="E978">
        <v>12</v>
      </c>
      <c r="F978">
        <v>76</v>
      </c>
      <c r="G978" s="2" t="s">
        <v>104</v>
      </c>
      <c r="H978" s="2" t="s">
        <v>140</v>
      </c>
      <c r="I978" s="2" t="s">
        <v>33</v>
      </c>
      <c r="J978" s="2" t="s">
        <v>34</v>
      </c>
      <c r="K978" s="2" t="s">
        <v>42</v>
      </c>
      <c r="L978">
        <v>8</v>
      </c>
      <c r="M978">
        <v>217.91</v>
      </c>
      <c r="N978">
        <v>1743.28</v>
      </c>
      <c r="O978" t="s">
        <v>29</v>
      </c>
      <c r="P978" s="2" t="s">
        <v>30</v>
      </c>
      <c r="Q978" s="2" t="s">
        <v>24</v>
      </c>
    </row>
    <row r="979" spans="1:17" hidden="1" x14ac:dyDescent="0.3">
      <c r="A979">
        <v>202401042</v>
      </c>
      <c r="B979" s="1">
        <v>45591</v>
      </c>
      <c r="C979">
        <v>2024</v>
      </c>
      <c r="D979">
        <v>4</v>
      </c>
      <c r="E979">
        <v>10</v>
      </c>
      <c r="F979">
        <v>36</v>
      </c>
      <c r="G979" s="2" t="s">
        <v>123</v>
      </c>
      <c r="H979" s="2" t="s">
        <v>62</v>
      </c>
      <c r="I979" s="2" t="s">
        <v>54</v>
      </c>
      <c r="J979" s="2" t="s">
        <v>20</v>
      </c>
      <c r="K979" s="2" t="s">
        <v>71</v>
      </c>
      <c r="L979">
        <v>2</v>
      </c>
      <c r="M979">
        <v>1284.99</v>
      </c>
      <c r="N979">
        <v>2569.98</v>
      </c>
      <c r="O979" t="s">
        <v>36</v>
      </c>
      <c r="P979" s="2" t="s">
        <v>30</v>
      </c>
      <c r="Q979" s="2" t="s">
        <v>24</v>
      </c>
    </row>
    <row r="980" spans="1:17" hidden="1" x14ac:dyDescent="0.3">
      <c r="A980">
        <v>202401037</v>
      </c>
      <c r="B980" s="1">
        <v>45631</v>
      </c>
      <c r="C980">
        <v>2024</v>
      </c>
      <c r="D980">
        <v>4</v>
      </c>
      <c r="E980">
        <v>12</v>
      </c>
      <c r="F980">
        <v>28</v>
      </c>
      <c r="G980" s="2" t="s">
        <v>114</v>
      </c>
      <c r="H980" s="2" t="s">
        <v>62</v>
      </c>
      <c r="I980" s="2" t="s">
        <v>33</v>
      </c>
      <c r="J980" s="2" t="s">
        <v>34</v>
      </c>
      <c r="K980" s="2" t="s">
        <v>97</v>
      </c>
      <c r="L980">
        <v>12</v>
      </c>
      <c r="M980">
        <v>1966.88</v>
      </c>
      <c r="N980">
        <v>23602.560000000001</v>
      </c>
      <c r="O980" t="s">
        <v>22</v>
      </c>
      <c r="P980" s="2" t="s">
        <v>48</v>
      </c>
      <c r="Q980" s="2" t="s">
        <v>24</v>
      </c>
    </row>
    <row r="981" spans="1:17" hidden="1" x14ac:dyDescent="0.3">
      <c r="A981">
        <v>202400263</v>
      </c>
      <c r="B981" s="1">
        <v>45542</v>
      </c>
      <c r="C981">
        <v>2024</v>
      </c>
      <c r="D981">
        <v>3</v>
      </c>
      <c r="E981">
        <v>9</v>
      </c>
      <c r="F981">
        <v>7</v>
      </c>
      <c r="G981" s="2" t="s">
        <v>25</v>
      </c>
      <c r="H981" s="2" t="s">
        <v>26</v>
      </c>
      <c r="I981" s="2" t="s">
        <v>27</v>
      </c>
      <c r="J981" s="2" t="s">
        <v>20</v>
      </c>
      <c r="K981" s="2" t="s">
        <v>39</v>
      </c>
      <c r="L981">
        <v>6</v>
      </c>
      <c r="M981">
        <v>1078.21</v>
      </c>
      <c r="N981">
        <v>6469.26</v>
      </c>
      <c r="O981" t="s">
        <v>29</v>
      </c>
      <c r="P981" s="2" t="s">
        <v>30</v>
      </c>
      <c r="Q981" s="2" t="s">
        <v>24</v>
      </c>
    </row>
    <row r="982" spans="1:17" hidden="1" x14ac:dyDescent="0.3">
      <c r="A982">
        <v>202400611</v>
      </c>
      <c r="B982" s="1">
        <v>45467</v>
      </c>
      <c r="C982">
        <v>2024</v>
      </c>
      <c r="D982">
        <v>2</v>
      </c>
      <c r="E982">
        <v>6</v>
      </c>
      <c r="F982">
        <v>67</v>
      </c>
      <c r="G982" s="2" t="s">
        <v>124</v>
      </c>
      <c r="H982" s="2" t="s">
        <v>69</v>
      </c>
      <c r="I982" s="2" t="s">
        <v>54</v>
      </c>
      <c r="J982" s="2" t="s">
        <v>20</v>
      </c>
      <c r="K982" s="2" t="s">
        <v>60</v>
      </c>
      <c r="L982">
        <v>12</v>
      </c>
      <c r="M982">
        <v>1651.51</v>
      </c>
      <c r="N982">
        <v>19818.12</v>
      </c>
      <c r="O982" t="s">
        <v>22</v>
      </c>
      <c r="P982" s="2" t="s">
        <v>43</v>
      </c>
      <c r="Q982" s="2" t="s">
        <v>24</v>
      </c>
    </row>
    <row r="983" spans="1:17" hidden="1" x14ac:dyDescent="0.3">
      <c r="A983">
        <v>202400298</v>
      </c>
      <c r="B983" s="1">
        <v>45643</v>
      </c>
      <c r="C983">
        <v>2024</v>
      </c>
      <c r="D983">
        <v>4</v>
      </c>
      <c r="E983">
        <v>12</v>
      </c>
      <c r="F983">
        <v>40</v>
      </c>
      <c r="G983" s="2" t="s">
        <v>125</v>
      </c>
      <c r="H983" s="2" t="s">
        <v>69</v>
      </c>
      <c r="I983" s="2" t="s">
        <v>126</v>
      </c>
      <c r="J983" s="2" t="s">
        <v>20</v>
      </c>
      <c r="K983" s="2" t="s">
        <v>71</v>
      </c>
      <c r="L983">
        <v>5</v>
      </c>
      <c r="M983">
        <v>521.72</v>
      </c>
      <c r="N983">
        <v>2608.6000000000004</v>
      </c>
      <c r="O983" t="s">
        <v>29</v>
      </c>
      <c r="P983" s="2" t="s">
        <v>30</v>
      </c>
      <c r="Q983" s="2" t="s">
        <v>24</v>
      </c>
    </row>
    <row r="984" spans="1:17" hidden="1" x14ac:dyDescent="0.3">
      <c r="A984">
        <v>202400990</v>
      </c>
      <c r="B984" s="1">
        <v>45546</v>
      </c>
      <c r="C984">
        <v>2024</v>
      </c>
      <c r="D984">
        <v>3</v>
      </c>
      <c r="E984">
        <v>9</v>
      </c>
      <c r="F984">
        <v>78</v>
      </c>
      <c r="G984" s="2" t="s">
        <v>131</v>
      </c>
      <c r="H984" s="2" t="s">
        <v>69</v>
      </c>
      <c r="I984" s="2" t="s">
        <v>19</v>
      </c>
      <c r="J984" s="2" t="s">
        <v>20</v>
      </c>
      <c r="K984" s="2" t="s">
        <v>59</v>
      </c>
      <c r="L984">
        <v>11</v>
      </c>
      <c r="M984">
        <v>68.87</v>
      </c>
      <c r="N984">
        <v>757.57</v>
      </c>
      <c r="O984" t="s">
        <v>22</v>
      </c>
      <c r="P984" s="2" t="s">
        <v>43</v>
      </c>
      <c r="Q984" s="2" t="s">
        <v>24</v>
      </c>
    </row>
    <row r="985" spans="1:17" x14ac:dyDescent="0.3">
      <c r="A985">
        <v>202400415</v>
      </c>
      <c r="B985" s="1">
        <v>45311</v>
      </c>
      <c r="C985">
        <v>2024</v>
      </c>
      <c r="D985">
        <v>1</v>
      </c>
      <c r="E985">
        <v>1</v>
      </c>
      <c r="F985">
        <v>10</v>
      </c>
      <c r="G985" s="2" t="s">
        <v>17</v>
      </c>
      <c r="H985" s="2" t="s">
        <v>18</v>
      </c>
      <c r="I985" s="2" t="s">
        <v>19</v>
      </c>
      <c r="J985" s="2" t="s">
        <v>20</v>
      </c>
      <c r="K985" s="2" t="s">
        <v>21</v>
      </c>
      <c r="L985">
        <v>7</v>
      </c>
      <c r="M985">
        <v>963.16</v>
      </c>
      <c r="N985">
        <v>6742.12</v>
      </c>
      <c r="O985" t="s">
        <v>29</v>
      </c>
      <c r="P985" s="2" t="s">
        <v>48</v>
      </c>
      <c r="Q985" s="2" t="s">
        <v>24</v>
      </c>
    </row>
    <row r="986" spans="1:17" x14ac:dyDescent="0.3">
      <c r="A986">
        <v>202400151</v>
      </c>
      <c r="B986" s="1">
        <v>45299</v>
      </c>
      <c r="C986">
        <v>2024</v>
      </c>
      <c r="D986">
        <v>1</v>
      </c>
      <c r="E986">
        <v>1</v>
      </c>
      <c r="F986">
        <v>66</v>
      </c>
      <c r="G986" s="2" t="s">
        <v>107</v>
      </c>
      <c r="H986" s="2" t="s">
        <v>69</v>
      </c>
      <c r="I986" s="2" t="s">
        <v>78</v>
      </c>
      <c r="J986" s="2" t="s">
        <v>75</v>
      </c>
      <c r="K986" s="2" t="s">
        <v>50</v>
      </c>
      <c r="L986">
        <v>2</v>
      </c>
      <c r="M986">
        <v>304.22000000000003</v>
      </c>
      <c r="N986">
        <v>608.44000000000005</v>
      </c>
      <c r="O986" t="s">
        <v>36</v>
      </c>
      <c r="P986" s="2" t="s">
        <v>30</v>
      </c>
      <c r="Q986" s="2" t="s">
        <v>45</v>
      </c>
    </row>
    <row r="987" spans="1:17" hidden="1" x14ac:dyDescent="0.3">
      <c r="A987">
        <v>202400473</v>
      </c>
      <c r="B987" s="1">
        <v>45391</v>
      </c>
      <c r="C987">
        <v>2024</v>
      </c>
      <c r="D987">
        <v>2</v>
      </c>
      <c r="E987">
        <v>4</v>
      </c>
      <c r="F987">
        <v>21</v>
      </c>
      <c r="G987" s="2" t="s">
        <v>53</v>
      </c>
      <c r="H987" s="2" t="s">
        <v>26</v>
      </c>
      <c r="I987" s="2" t="s">
        <v>78</v>
      </c>
      <c r="J987" s="2" t="s">
        <v>75</v>
      </c>
      <c r="K987" s="2" t="s">
        <v>71</v>
      </c>
      <c r="L987">
        <v>4</v>
      </c>
      <c r="M987">
        <v>1481</v>
      </c>
      <c r="N987">
        <v>5924</v>
      </c>
      <c r="O987" t="s">
        <v>29</v>
      </c>
      <c r="P987" s="2" t="s">
        <v>23</v>
      </c>
      <c r="Q987" s="2" t="s">
        <v>40</v>
      </c>
    </row>
    <row r="988" spans="1:17" hidden="1" x14ac:dyDescent="0.3">
      <c r="A988">
        <v>202400641</v>
      </c>
      <c r="B988" s="1">
        <v>45652</v>
      </c>
      <c r="C988">
        <v>2024</v>
      </c>
      <c r="D988">
        <v>4</v>
      </c>
      <c r="E988">
        <v>12</v>
      </c>
      <c r="F988">
        <v>13</v>
      </c>
      <c r="G988" s="2" t="s">
        <v>72</v>
      </c>
      <c r="H988" s="2" t="s">
        <v>69</v>
      </c>
      <c r="I988" s="2" t="s">
        <v>38</v>
      </c>
      <c r="J988" s="2" t="s">
        <v>20</v>
      </c>
      <c r="K988" s="2" t="s">
        <v>47</v>
      </c>
      <c r="L988">
        <v>8</v>
      </c>
      <c r="M988">
        <v>1559.6</v>
      </c>
      <c r="N988">
        <v>12476.8</v>
      </c>
      <c r="O988" t="s">
        <v>29</v>
      </c>
      <c r="P988" s="2" t="s">
        <v>23</v>
      </c>
      <c r="Q988" s="2" t="s">
        <v>31</v>
      </c>
    </row>
    <row r="989" spans="1:17" x14ac:dyDescent="0.3">
      <c r="A989">
        <v>202401141</v>
      </c>
      <c r="B989" s="1">
        <v>45339</v>
      </c>
      <c r="C989">
        <v>2024</v>
      </c>
      <c r="D989">
        <v>1</v>
      </c>
      <c r="E989">
        <v>2</v>
      </c>
      <c r="F989">
        <v>51</v>
      </c>
      <c r="G989" s="2" t="s">
        <v>132</v>
      </c>
      <c r="H989" s="2" t="s">
        <v>62</v>
      </c>
      <c r="I989" s="2" t="s">
        <v>78</v>
      </c>
      <c r="J989" s="2" t="s">
        <v>75</v>
      </c>
      <c r="K989" s="2" t="s">
        <v>21</v>
      </c>
      <c r="L989">
        <v>9</v>
      </c>
      <c r="M989">
        <v>1492.89</v>
      </c>
      <c r="N989">
        <v>13436.01</v>
      </c>
      <c r="O989" t="s">
        <v>29</v>
      </c>
      <c r="P989" s="2" t="s">
        <v>23</v>
      </c>
      <c r="Q989" s="2" t="s">
        <v>45</v>
      </c>
    </row>
    <row r="990" spans="1:17" x14ac:dyDescent="0.3">
      <c r="A990">
        <v>202400551</v>
      </c>
      <c r="B990" s="1">
        <v>45355</v>
      </c>
      <c r="C990">
        <v>2024</v>
      </c>
      <c r="D990">
        <v>1</v>
      </c>
      <c r="E990">
        <v>3</v>
      </c>
      <c r="F990">
        <v>27</v>
      </c>
      <c r="G990" s="2" t="s">
        <v>83</v>
      </c>
      <c r="H990" s="2" t="s">
        <v>18</v>
      </c>
      <c r="I990" s="2" t="s">
        <v>74</v>
      </c>
      <c r="J990" s="2" t="s">
        <v>75</v>
      </c>
      <c r="K990" s="2" t="s">
        <v>39</v>
      </c>
      <c r="L990">
        <v>1</v>
      </c>
      <c r="M990">
        <v>1807.02</v>
      </c>
      <c r="N990">
        <v>1807.02</v>
      </c>
      <c r="O990" t="s">
        <v>36</v>
      </c>
      <c r="P990" s="2" t="s">
        <v>48</v>
      </c>
      <c r="Q990" s="2" t="s">
        <v>31</v>
      </c>
    </row>
    <row r="991" spans="1:17" hidden="1" x14ac:dyDescent="0.3">
      <c r="A991">
        <v>202400929</v>
      </c>
      <c r="B991" s="1">
        <v>45586</v>
      </c>
      <c r="C991">
        <v>2024</v>
      </c>
      <c r="D991">
        <v>4</v>
      </c>
      <c r="E991">
        <v>10</v>
      </c>
      <c r="F991">
        <v>21</v>
      </c>
      <c r="G991" s="2" t="s">
        <v>53</v>
      </c>
      <c r="H991" s="2" t="s">
        <v>26</v>
      </c>
      <c r="I991" s="2" t="s">
        <v>78</v>
      </c>
      <c r="J991" s="2" t="s">
        <v>75</v>
      </c>
      <c r="K991" s="2" t="s">
        <v>35</v>
      </c>
      <c r="L991">
        <v>11</v>
      </c>
      <c r="M991">
        <v>1928.82</v>
      </c>
      <c r="N991">
        <v>21217.02</v>
      </c>
      <c r="O991" t="s">
        <v>22</v>
      </c>
      <c r="P991" s="2" t="s">
        <v>30</v>
      </c>
      <c r="Q991" s="2" t="s">
        <v>41</v>
      </c>
    </row>
    <row r="992" spans="1:17" hidden="1" x14ac:dyDescent="0.3">
      <c r="A992">
        <v>202400489</v>
      </c>
      <c r="B992" s="1">
        <v>45431</v>
      </c>
      <c r="C992">
        <v>2024</v>
      </c>
      <c r="D992">
        <v>2</v>
      </c>
      <c r="E992">
        <v>5</v>
      </c>
      <c r="F992">
        <v>31</v>
      </c>
      <c r="G992" s="2" t="s">
        <v>127</v>
      </c>
      <c r="H992" s="2" t="s">
        <v>69</v>
      </c>
      <c r="I992" s="2" t="s">
        <v>54</v>
      </c>
      <c r="J992" s="2" t="s">
        <v>20</v>
      </c>
      <c r="K992" s="2" t="s">
        <v>71</v>
      </c>
      <c r="L992">
        <v>3</v>
      </c>
      <c r="M992">
        <v>1382.47</v>
      </c>
      <c r="N992">
        <v>4147.41</v>
      </c>
      <c r="O992" t="s">
        <v>29</v>
      </c>
      <c r="P992" s="2" t="s">
        <v>23</v>
      </c>
      <c r="Q992" s="2" t="s">
        <v>41</v>
      </c>
    </row>
    <row r="993" spans="1:17" hidden="1" x14ac:dyDescent="0.3">
      <c r="A993">
        <v>202401092</v>
      </c>
      <c r="B993" s="1">
        <v>45580</v>
      </c>
      <c r="C993">
        <v>2024</v>
      </c>
      <c r="D993">
        <v>4</v>
      </c>
      <c r="E993">
        <v>10</v>
      </c>
      <c r="F993">
        <v>43</v>
      </c>
      <c r="G993" s="2" t="s">
        <v>100</v>
      </c>
      <c r="H993" s="2" t="s">
        <v>69</v>
      </c>
      <c r="I993" s="2" t="s">
        <v>54</v>
      </c>
      <c r="J993" s="2" t="s">
        <v>20</v>
      </c>
      <c r="K993" s="2" t="s">
        <v>47</v>
      </c>
      <c r="L993">
        <v>2</v>
      </c>
      <c r="M993">
        <v>132.61000000000001</v>
      </c>
      <c r="N993">
        <v>265.22000000000003</v>
      </c>
      <c r="O993" t="s">
        <v>36</v>
      </c>
      <c r="P993" s="2" t="s">
        <v>43</v>
      </c>
      <c r="Q993" s="2" t="s">
        <v>24</v>
      </c>
    </row>
    <row r="994" spans="1:17" hidden="1" x14ac:dyDescent="0.3">
      <c r="A994">
        <v>202400147</v>
      </c>
      <c r="B994" s="1">
        <v>45425</v>
      </c>
      <c r="C994">
        <v>2024</v>
      </c>
      <c r="D994">
        <v>2</v>
      </c>
      <c r="E994">
        <v>5</v>
      </c>
      <c r="F994">
        <v>24</v>
      </c>
      <c r="G994" s="2" t="s">
        <v>17</v>
      </c>
      <c r="H994" s="2" t="s">
        <v>26</v>
      </c>
      <c r="I994" s="2" t="s">
        <v>56</v>
      </c>
      <c r="J994" s="2" t="s">
        <v>57</v>
      </c>
      <c r="K994" s="2" t="s">
        <v>39</v>
      </c>
      <c r="L994">
        <v>12</v>
      </c>
      <c r="M994">
        <v>1510.11</v>
      </c>
      <c r="N994">
        <v>18121.32</v>
      </c>
      <c r="O994" t="s">
        <v>22</v>
      </c>
      <c r="P994" s="2" t="s">
        <v>23</v>
      </c>
      <c r="Q994" s="2" t="s">
        <v>24</v>
      </c>
    </row>
    <row r="995" spans="1:17" hidden="1" x14ac:dyDescent="0.3">
      <c r="A995">
        <v>202400403</v>
      </c>
      <c r="B995" s="1">
        <v>45555</v>
      </c>
      <c r="C995">
        <v>2024</v>
      </c>
      <c r="D995">
        <v>3</v>
      </c>
      <c r="E995">
        <v>9</v>
      </c>
      <c r="F995">
        <v>51</v>
      </c>
      <c r="G995" s="2" t="s">
        <v>132</v>
      </c>
      <c r="H995" s="2" t="s">
        <v>62</v>
      </c>
      <c r="I995" s="2" t="s">
        <v>78</v>
      </c>
      <c r="J995" s="2" t="s">
        <v>75</v>
      </c>
      <c r="K995" s="2" t="s">
        <v>70</v>
      </c>
      <c r="L995">
        <v>7</v>
      </c>
      <c r="M995">
        <v>1460.31</v>
      </c>
      <c r="N995">
        <v>10222.17</v>
      </c>
      <c r="O995" t="s">
        <v>29</v>
      </c>
      <c r="P995" s="2" t="s">
        <v>43</v>
      </c>
      <c r="Q995" s="2" t="s">
        <v>41</v>
      </c>
    </row>
    <row r="996" spans="1:17" hidden="1" x14ac:dyDescent="0.3">
      <c r="A996">
        <v>202400955</v>
      </c>
      <c r="B996" s="1">
        <v>45503</v>
      </c>
      <c r="C996">
        <v>2024</v>
      </c>
      <c r="D996">
        <v>3</v>
      </c>
      <c r="E996">
        <v>7</v>
      </c>
      <c r="F996">
        <v>70</v>
      </c>
      <c r="G996" s="2" t="s">
        <v>94</v>
      </c>
      <c r="H996" s="2" t="s">
        <v>18</v>
      </c>
      <c r="I996" s="2" t="s">
        <v>78</v>
      </c>
      <c r="J996" s="2" t="s">
        <v>75</v>
      </c>
      <c r="K996" s="2" t="s">
        <v>60</v>
      </c>
      <c r="L996">
        <v>2</v>
      </c>
      <c r="M996">
        <v>1498.68</v>
      </c>
      <c r="N996">
        <v>2997.36</v>
      </c>
      <c r="O996" t="s">
        <v>36</v>
      </c>
      <c r="P996" s="2" t="s">
        <v>43</v>
      </c>
      <c r="Q996" s="2" t="s">
        <v>24</v>
      </c>
    </row>
    <row r="997" spans="1:17" x14ac:dyDescent="0.3">
      <c r="A997">
        <v>202401136</v>
      </c>
      <c r="B997" s="1">
        <v>45307</v>
      </c>
      <c r="C997">
        <v>2024</v>
      </c>
      <c r="D997">
        <v>1</v>
      </c>
      <c r="E997">
        <v>1</v>
      </c>
      <c r="F997">
        <v>71</v>
      </c>
      <c r="G997" s="2" t="s">
        <v>80</v>
      </c>
      <c r="H997" s="2" t="s">
        <v>18</v>
      </c>
      <c r="I997" s="2" t="s">
        <v>65</v>
      </c>
      <c r="J997" s="2" t="s">
        <v>34</v>
      </c>
      <c r="K997" s="2" t="s">
        <v>50</v>
      </c>
      <c r="L997">
        <v>4</v>
      </c>
      <c r="M997">
        <v>1794.23</v>
      </c>
      <c r="N997">
        <v>7176.92</v>
      </c>
      <c r="O997" t="s">
        <v>29</v>
      </c>
      <c r="P997" s="2" t="s">
        <v>43</v>
      </c>
      <c r="Q997" s="2" t="s">
        <v>24</v>
      </c>
    </row>
    <row r="998" spans="1:17" hidden="1" x14ac:dyDescent="0.3">
      <c r="A998">
        <v>202400464</v>
      </c>
      <c r="B998" s="1">
        <v>45593</v>
      </c>
      <c r="C998">
        <v>2024</v>
      </c>
      <c r="D998">
        <v>4</v>
      </c>
      <c r="E998">
        <v>10</v>
      </c>
      <c r="F998">
        <v>69</v>
      </c>
      <c r="G998" s="2" t="s">
        <v>98</v>
      </c>
      <c r="H998" s="2" t="s">
        <v>62</v>
      </c>
      <c r="I998" s="2" t="s">
        <v>67</v>
      </c>
      <c r="J998" s="2" t="s">
        <v>20</v>
      </c>
      <c r="K998" s="2" t="s">
        <v>71</v>
      </c>
      <c r="L998">
        <v>4</v>
      </c>
      <c r="M998">
        <v>1193.0899999999999</v>
      </c>
      <c r="N998">
        <v>4772.3599999999997</v>
      </c>
      <c r="O998" t="s">
        <v>29</v>
      </c>
      <c r="P998" s="2" t="s">
        <v>43</v>
      </c>
      <c r="Q998" s="2" t="s">
        <v>24</v>
      </c>
    </row>
    <row r="999" spans="1:17" hidden="1" x14ac:dyDescent="0.3">
      <c r="A999">
        <v>202400187</v>
      </c>
      <c r="B999" s="1">
        <v>45465</v>
      </c>
      <c r="C999">
        <v>2024</v>
      </c>
      <c r="D999">
        <v>2</v>
      </c>
      <c r="E999">
        <v>6</v>
      </c>
      <c r="F999">
        <v>70</v>
      </c>
      <c r="G999" s="2" t="s">
        <v>94</v>
      </c>
      <c r="H999" s="2" t="s">
        <v>18</v>
      </c>
      <c r="I999" s="2" t="s">
        <v>78</v>
      </c>
      <c r="J999" s="2" t="s">
        <v>75</v>
      </c>
      <c r="K999" s="2" t="s">
        <v>71</v>
      </c>
      <c r="L999">
        <v>12</v>
      </c>
      <c r="M999">
        <v>1974.01</v>
      </c>
      <c r="N999">
        <v>23688.12</v>
      </c>
      <c r="O999" t="s">
        <v>22</v>
      </c>
      <c r="P999" s="2" t="s">
        <v>48</v>
      </c>
      <c r="Q999" s="2" t="s">
        <v>40</v>
      </c>
    </row>
    <row r="1000" spans="1:17" hidden="1" x14ac:dyDescent="0.3">
      <c r="A1000">
        <v>202400609</v>
      </c>
      <c r="B1000" s="1">
        <v>45509</v>
      </c>
      <c r="C1000">
        <v>2024</v>
      </c>
      <c r="D1000">
        <v>3</v>
      </c>
      <c r="E1000">
        <v>8</v>
      </c>
      <c r="F1000">
        <v>72</v>
      </c>
      <c r="G1000" s="2" t="s">
        <v>100</v>
      </c>
      <c r="H1000" s="2" t="s">
        <v>140</v>
      </c>
      <c r="I1000" s="2" t="s">
        <v>33</v>
      </c>
      <c r="J1000" s="2" t="s">
        <v>34</v>
      </c>
      <c r="K1000" s="2" t="s">
        <v>42</v>
      </c>
      <c r="L1000">
        <v>3</v>
      </c>
      <c r="M1000">
        <v>541.26</v>
      </c>
      <c r="N1000">
        <v>1623.78</v>
      </c>
      <c r="O1000" t="s">
        <v>29</v>
      </c>
      <c r="P1000" s="2" t="s">
        <v>30</v>
      </c>
      <c r="Q1000" s="2" t="s">
        <v>24</v>
      </c>
    </row>
    <row r="1001" spans="1:17" x14ac:dyDescent="0.3">
      <c r="A1001">
        <v>202400144</v>
      </c>
      <c r="B1001" s="1">
        <v>45364</v>
      </c>
      <c r="C1001">
        <v>2024</v>
      </c>
      <c r="D1001">
        <v>1</v>
      </c>
      <c r="E1001">
        <v>3</v>
      </c>
      <c r="F1001">
        <v>15</v>
      </c>
      <c r="G1001" s="2" t="s">
        <v>115</v>
      </c>
      <c r="H1001" s="2" t="s">
        <v>140</v>
      </c>
      <c r="I1001" s="2" t="s">
        <v>19</v>
      </c>
      <c r="J1001" s="2" t="s">
        <v>20</v>
      </c>
      <c r="K1001" s="2" t="s">
        <v>47</v>
      </c>
      <c r="L1001">
        <v>9</v>
      </c>
      <c r="M1001">
        <v>1016.8</v>
      </c>
      <c r="N1001">
        <v>9151.1999999999989</v>
      </c>
      <c r="O1001" t="s">
        <v>29</v>
      </c>
      <c r="P1001" s="2" t="s">
        <v>30</v>
      </c>
      <c r="Q1001" s="2" t="s">
        <v>24</v>
      </c>
    </row>
    <row r="1002" spans="1:17" hidden="1" x14ac:dyDescent="0.3">
      <c r="A1002">
        <v>202400752</v>
      </c>
      <c r="B1002" s="1">
        <v>45557</v>
      </c>
      <c r="C1002">
        <v>2024</v>
      </c>
      <c r="D1002">
        <v>3</v>
      </c>
      <c r="E1002">
        <v>9</v>
      </c>
      <c r="F1002">
        <v>28</v>
      </c>
      <c r="G1002" s="2" t="s">
        <v>114</v>
      </c>
      <c r="H1002" s="2" t="s">
        <v>62</v>
      </c>
      <c r="I1002" s="2" t="s">
        <v>33</v>
      </c>
      <c r="J1002" s="2" t="s">
        <v>34</v>
      </c>
      <c r="K1002" s="2" t="s">
        <v>71</v>
      </c>
      <c r="L1002">
        <v>13</v>
      </c>
      <c r="M1002">
        <v>474.12</v>
      </c>
      <c r="N1002">
        <v>6163.56</v>
      </c>
      <c r="O1002" t="s">
        <v>22</v>
      </c>
      <c r="P1002" s="2" t="s">
        <v>43</v>
      </c>
      <c r="Q1002" s="2" t="s">
        <v>41</v>
      </c>
    </row>
    <row r="1003" spans="1:17" x14ac:dyDescent="0.3">
      <c r="A1003">
        <v>202400982</v>
      </c>
      <c r="B1003" s="1">
        <v>45369</v>
      </c>
      <c r="C1003">
        <v>2024</v>
      </c>
      <c r="D1003">
        <v>1</v>
      </c>
      <c r="E1003">
        <v>3</v>
      </c>
      <c r="F1003">
        <v>61</v>
      </c>
      <c r="G1003" s="2" t="s">
        <v>90</v>
      </c>
      <c r="H1003" s="2" t="s">
        <v>69</v>
      </c>
      <c r="I1003" s="2" t="s">
        <v>65</v>
      </c>
      <c r="J1003" s="2" t="s">
        <v>34</v>
      </c>
      <c r="K1003" s="2" t="s">
        <v>58</v>
      </c>
      <c r="L1003">
        <v>12</v>
      </c>
      <c r="M1003">
        <v>1172.67</v>
      </c>
      <c r="N1003">
        <v>14072.04</v>
      </c>
      <c r="O1003" t="s">
        <v>22</v>
      </c>
      <c r="P1003" s="2" t="s">
        <v>30</v>
      </c>
      <c r="Q1003" s="2" t="s">
        <v>40</v>
      </c>
    </row>
    <row r="1004" spans="1:17" hidden="1" x14ac:dyDescent="0.3">
      <c r="A1004">
        <v>202400198</v>
      </c>
      <c r="B1004" s="1">
        <v>45501</v>
      </c>
      <c r="C1004">
        <v>2024</v>
      </c>
      <c r="D1004">
        <v>3</v>
      </c>
      <c r="E1004">
        <v>7</v>
      </c>
      <c r="F1004">
        <v>34</v>
      </c>
      <c r="G1004" s="2" t="s">
        <v>95</v>
      </c>
      <c r="H1004" s="2" t="s">
        <v>18</v>
      </c>
      <c r="I1004" s="2" t="s">
        <v>54</v>
      </c>
      <c r="J1004" s="2" t="s">
        <v>20</v>
      </c>
      <c r="K1004" s="2" t="s">
        <v>35</v>
      </c>
      <c r="L1004">
        <v>0</v>
      </c>
      <c r="M1004">
        <v>245.94</v>
      </c>
      <c r="N1004">
        <v>0</v>
      </c>
      <c r="O1004" t="s">
        <v>36</v>
      </c>
      <c r="P1004" s="2" t="s">
        <v>30</v>
      </c>
      <c r="Q1004" s="2" t="s">
        <v>24</v>
      </c>
    </row>
    <row r="1005" spans="1:17" hidden="1" x14ac:dyDescent="0.3">
      <c r="A1005">
        <v>202400884</v>
      </c>
      <c r="B1005" s="1">
        <v>45550</v>
      </c>
      <c r="C1005">
        <v>2024</v>
      </c>
      <c r="D1005">
        <v>3</v>
      </c>
      <c r="E1005">
        <v>9</v>
      </c>
      <c r="F1005">
        <v>60</v>
      </c>
      <c r="G1005" s="2" t="s">
        <v>101</v>
      </c>
      <c r="H1005" s="2" t="s">
        <v>62</v>
      </c>
      <c r="I1005" s="2" t="s">
        <v>54</v>
      </c>
      <c r="J1005" s="2" t="s">
        <v>20</v>
      </c>
      <c r="K1005" s="2" t="s">
        <v>60</v>
      </c>
      <c r="L1005">
        <v>1</v>
      </c>
      <c r="M1005">
        <v>1727.12</v>
      </c>
      <c r="N1005">
        <v>1727.12</v>
      </c>
      <c r="O1005" t="s">
        <v>36</v>
      </c>
      <c r="P1005" s="2" t="s">
        <v>30</v>
      </c>
      <c r="Q1005" s="2" t="s">
        <v>45</v>
      </c>
    </row>
    <row r="1006" spans="1:17" x14ac:dyDescent="0.3">
      <c r="A1006">
        <v>202400280</v>
      </c>
      <c r="B1006" s="1">
        <v>45340</v>
      </c>
      <c r="C1006">
        <v>2024</v>
      </c>
      <c r="D1006">
        <v>1</v>
      </c>
      <c r="E1006">
        <v>2</v>
      </c>
      <c r="F1006">
        <v>73</v>
      </c>
      <c r="G1006" s="2" t="s">
        <v>111</v>
      </c>
      <c r="H1006" s="2" t="s">
        <v>26</v>
      </c>
      <c r="I1006" s="2" t="s">
        <v>27</v>
      </c>
      <c r="J1006" s="2" t="s">
        <v>20</v>
      </c>
      <c r="K1006" s="2" t="s">
        <v>97</v>
      </c>
      <c r="L1006">
        <v>3</v>
      </c>
      <c r="M1006">
        <v>809.44</v>
      </c>
      <c r="N1006">
        <v>2428.3200000000002</v>
      </c>
      <c r="O1006" t="s">
        <v>29</v>
      </c>
      <c r="P1006" s="2" t="s">
        <v>43</v>
      </c>
      <c r="Q1006" s="2" t="s">
        <v>41</v>
      </c>
    </row>
    <row r="1007" spans="1:17" hidden="1" x14ac:dyDescent="0.3">
      <c r="A1007">
        <v>202400294</v>
      </c>
      <c r="B1007" s="1">
        <v>45487</v>
      </c>
      <c r="C1007">
        <v>2024</v>
      </c>
      <c r="D1007">
        <v>3</v>
      </c>
      <c r="E1007">
        <v>7</v>
      </c>
      <c r="F1007">
        <v>55</v>
      </c>
      <c r="G1007" s="2" t="s">
        <v>87</v>
      </c>
      <c r="H1007" s="2" t="s">
        <v>69</v>
      </c>
      <c r="I1007" s="2" t="s">
        <v>85</v>
      </c>
      <c r="J1007" s="2" t="s">
        <v>57</v>
      </c>
      <c r="K1007" s="2" t="s">
        <v>59</v>
      </c>
      <c r="L1007">
        <v>9</v>
      </c>
      <c r="M1007">
        <v>1150.54</v>
      </c>
      <c r="N1007">
        <v>10354.86</v>
      </c>
      <c r="O1007" t="s">
        <v>29</v>
      </c>
      <c r="P1007" s="2" t="s">
        <v>30</v>
      </c>
      <c r="Q1007" s="2" t="s">
        <v>24</v>
      </c>
    </row>
    <row r="1008" spans="1:17" x14ac:dyDescent="0.3">
      <c r="A1008">
        <v>202401100</v>
      </c>
      <c r="B1008" s="1">
        <v>45330</v>
      </c>
      <c r="C1008">
        <v>2024</v>
      </c>
      <c r="D1008">
        <v>1</v>
      </c>
      <c r="E1008">
        <v>2</v>
      </c>
      <c r="F1008">
        <v>40</v>
      </c>
      <c r="G1008" s="2" t="s">
        <v>125</v>
      </c>
      <c r="H1008" s="2" t="s">
        <v>69</v>
      </c>
      <c r="I1008" s="2" t="s">
        <v>126</v>
      </c>
      <c r="J1008" s="2" t="s">
        <v>20</v>
      </c>
      <c r="K1008" s="2" t="s">
        <v>21</v>
      </c>
      <c r="L1008">
        <v>8</v>
      </c>
      <c r="M1008">
        <v>60.95</v>
      </c>
      <c r="N1008">
        <v>487.6</v>
      </c>
      <c r="O1008" t="s">
        <v>29</v>
      </c>
      <c r="P1008" s="2" t="s">
        <v>43</v>
      </c>
      <c r="Q1008" s="2" t="s">
        <v>40</v>
      </c>
    </row>
    <row r="1009" spans="1:17" x14ac:dyDescent="0.3">
      <c r="A1009">
        <v>202400401</v>
      </c>
      <c r="B1009" s="1">
        <v>45382</v>
      </c>
      <c r="C1009">
        <v>2024</v>
      </c>
      <c r="D1009">
        <v>1</v>
      </c>
      <c r="E1009">
        <v>3</v>
      </c>
      <c r="F1009">
        <v>2</v>
      </c>
      <c r="G1009" s="2" t="s">
        <v>32</v>
      </c>
      <c r="H1009" s="2" t="s">
        <v>140</v>
      </c>
      <c r="I1009" s="2" t="s">
        <v>33</v>
      </c>
      <c r="J1009" s="2" t="s">
        <v>34</v>
      </c>
      <c r="K1009" s="2" t="s">
        <v>70</v>
      </c>
      <c r="L1009">
        <v>13</v>
      </c>
      <c r="M1009">
        <v>695.65</v>
      </c>
      <c r="N1009">
        <v>9043.4499999999989</v>
      </c>
      <c r="O1009" t="s">
        <v>22</v>
      </c>
      <c r="P1009" s="2" t="s">
        <v>30</v>
      </c>
      <c r="Q1009" s="2" t="s">
        <v>31</v>
      </c>
    </row>
    <row r="1010" spans="1:17" hidden="1" x14ac:dyDescent="0.3">
      <c r="A1010">
        <v>202400123</v>
      </c>
      <c r="B1010" s="1">
        <v>45458</v>
      </c>
      <c r="C1010">
        <v>2024</v>
      </c>
      <c r="D1010">
        <v>2</v>
      </c>
      <c r="E1010">
        <v>6</v>
      </c>
      <c r="F1010">
        <v>68</v>
      </c>
      <c r="G1010" s="2" t="s">
        <v>128</v>
      </c>
      <c r="H1010" s="2" t="s">
        <v>140</v>
      </c>
      <c r="I1010" s="2" t="s">
        <v>85</v>
      </c>
      <c r="J1010" s="2" t="s">
        <v>57</v>
      </c>
      <c r="K1010" s="2" t="s">
        <v>50</v>
      </c>
      <c r="L1010">
        <v>5</v>
      </c>
      <c r="M1010">
        <v>651.08000000000004</v>
      </c>
      <c r="N1010">
        <v>3255.4</v>
      </c>
      <c r="O1010" t="s">
        <v>29</v>
      </c>
      <c r="P1010" s="2" t="s">
        <v>23</v>
      </c>
      <c r="Q1010" s="2" t="s">
        <v>45</v>
      </c>
    </row>
    <row r="1011" spans="1:17" hidden="1" x14ac:dyDescent="0.3">
      <c r="A1011">
        <v>202400203</v>
      </c>
      <c r="B1011" s="1">
        <v>45519</v>
      </c>
      <c r="C1011">
        <v>2024</v>
      </c>
      <c r="D1011">
        <v>3</v>
      </c>
      <c r="E1011">
        <v>8</v>
      </c>
      <c r="F1011">
        <v>37</v>
      </c>
      <c r="G1011" s="2" t="s">
        <v>96</v>
      </c>
      <c r="H1011" s="2" t="s">
        <v>62</v>
      </c>
      <c r="I1011" s="2" t="s">
        <v>56</v>
      </c>
      <c r="J1011" s="2" t="s">
        <v>57</v>
      </c>
      <c r="K1011" s="2" t="s">
        <v>51</v>
      </c>
      <c r="L1011">
        <v>1</v>
      </c>
      <c r="M1011">
        <v>235.06</v>
      </c>
      <c r="N1011">
        <v>235.06</v>
      </c>
      <c r="O1011" t="s">
        <v>36</v>
      </c>
      <c r="P1011" s="2" t="s">
        <v>30</v>
      </c>
      <c r="Q1011" s="2" t="s">
        <v>24</v>
      </c>
    </row>
    <row r="1012" spans="1:17" hidden="1" x14ac:dyDescent="0.3">
      <c r="A1012">
        <v>202400836</v>
      </c>
      <c r="B1012" s="1">
        <v>45439</v>
      </c>
      <c r="C1012">
        <v>2024</v>
      </c>
      <c r="D1012">
        <v>2</v>
      </c>
      <c r="E1012">
        <v>5</v>
      </c>
      <c r="F1012">
        <v>12</v>
      </c>
      <c r="G1012" s="2" t="s">
        <v>119</v>
      </c>
      <c r="H1012" s="2" t="s">
        <v>26</v>
      </c>
      <c r="I1012" s="2" t="s">
        <v>67</v>
      </c>
      <c r="J1012" s="2" t="s">
        <v>20</v>
      </c>
      <c r="K1012" s="2" t="s">
        <v>28</v>
      </c>
      <c r="L1012">
        <v>3</v>
      </c>
      <c r="M1012">
        <v>90.37</v>
      </c>
      <c r="N1012">
        <v>271.11</v>
      </c>
      <c r="O1012" t="s">
        <v>29</v>
      </c>
      <c r="P1012" s="2" t="s">
        <v>48</v>
      </c>
      <c r="Q1012" s="2" t="s">
        <v>24</v>
      </c>
    </row>
    <row r="1013" spans="1:17" hidden="1" x14ac:dyDescent="0.3">
      <c r="A1013">
        <v>202400247</v>
      </c>
      <c r="B1013" s="1">
        <v>45515</v>
      </c>
      <c r="C1013">
        <v>2024</v>
      </c>
      <c r="D1013">
        <v>3</v>
      </c>
      <c r="E1013">
        <v>8</v>
      </c>
      <c r="F1013">
        <v>47</v>
      </c>
      <c r="G1013" s="2" t="s">
        <v>120</v>
      </c>
      <c r="H1013" s="2" t="s">
        <v>140</v>
      </c>
      <c r="I1013" s="2" t="s">
        <v>38</v>
      </c>
      <c r="J1013" s="2" t="s">
        <v>20</v>
      </c>
      <c r="K1013" s="2" t="s">
        <v>50</v>
      </c>
      <c r="L1013">
        <v>11</v>
      </c>
      <c r="M1013">
        <v>1451.16</v>
      </c>
      <c r="N1013">
        <v>15962.76</v>
      </c>
      <c r="O1013" t="s">
        <v>22</v>
      </c>
      <c r="P1013" s="2" t="s">
        <v>43</v>
      </c>
      <c r="Q1013" s="2" t="s">
        <v>24</v>
      </c>
    </row>
    <row r="1014" spans="1:17" hidden="1" x14ac:dyDescent="0.3">
      <c r="A1014">
        <v>202401151</v>
      </c>
      <c r="B1014" s="1">
        <v>45550</v>
      </c>
      <c r="C1014">
        <v>2024</v>
      </c>
      <c r="D1014">
        <v>3</v>
      </c>
      <c r="E1014">
        <v>9</v>
      </c>
      <c r="F1014">
        <v>80</v>
      </c>
      <c r="G1014" s="2" t="s">
        <v>76</v>
      </c>
      <c r="H1014" s="2" t="s">
        <v>26</v>
      </c>
      <c r="I1014" s="2" t="s">
        <v>54</v>
      </c>
      <c r="J1014" s="2" t="s">
        <v>20</v>
      </c>
      <c r="K1014" s="2" t="s">
        <v>42</v>
      </c>
      <c r="L1014">
        <v>11</v>
      </c>
      <c r="M1014">
        <v>1804.97</v>
      </c>
      <c r="N1014">
        <v>19854.670000000002</v>
      </c>
      <c r="O1014" t="s">
        <v>22</v>
      </c>
      <c r="P1014" s="2" t="s">
        <v>30</v>
      </c>
      <c r="Q1014" s="2" t="s">
        <v>24</v>
      </c>
    </row>
    <row r="1015" spans="1:17" hidden="1" x14ac:dyDescent="0.3">
      <c r="A1015">
        <v>202400385</v>
      </c>
      <c r="B1015" s="1">
        <v>45451</v>
      </c>
      <c r="C1015">
        <v>2024</v>
      </c>
      <c r="D1015">
        <v>2</v>
      </c>
      <c r="E1015">
        <v>6</v>
      </c>
      <c r="F1015">
        <v>16</v>
      </c>
      <c r="G1015" s="2" t="s">
        <v>91</v>
      </c>
      <c r="H1015" s="2" t="s">
        <v>18</v>
      </c>
      <c r="I1015" s="2" t="s">
        <v>65</v>
      </c>
      <c r="J1015" s="2" t="s">
        <v>34</v>
      </c>
      <c r="K1015" s="2" t="s">
        <v>58</v>
      </c>
      <c r="L1015">
        <v>7</v>
      </c>
      <c r="M1015">
        <v>467.99</v>
      </c>
      <c r="N1015">
        <v>3275.9300000000003</v>
      </c>
      <c r="O1015" t="s">
        <v>29</v>
      </c>
      <c r="P1015" s="2" t="s">
        <v>48</v>
      </c>
      <c r="Q1015" s="2" t="s">
        <v>24</v>
      </c>
    </row>
    <row r="1016" spans="1:17" hidden="1" x14ac:dyDescent="0.3">
      <c r="A1016">
        <v>202400855</v>
      </c>
      <c r="B1016" s="1">
        <v>45474</v>
      </c>
      <c r="C1016">
        <v>2024</v>
      </c>
      <c r="D1016">
        <v>3</v>
      </c>
      <c r="E1016">
        <v>7</v>
      </c>
      <c r="F1016">
        <v>77</v>
      </c>
      <c r="G1016" s="2" t="s">
        <v>109</v>
      </c>
      <c r="H1016" s="2" t="s">
        <v>140</v>
      </c>
      <c r="I1016" s="2" t="s">
        <v>74</v>
      </c>
      <c r="J1016" s="2" t="s">
        <v>75</v>
      </c>
      <c r="K1016" s="2" t="s">
        <v>21</v>
      </c>
      <c r="L1016">
        <v>14</v>
      </c>
      <c r="M1016">
        <v>1219.08</v>
      </c>
      <c r="N1016">
        <v>17067.12</v>
      </c>
      <c r="O1016" t="s">
        <v>22</v>
      </c>
      <c r="P1016" s="2" t="s">
        <v>48</v>
      </c>
      <c r="Q1016" s="2" t="s">
        <v>24</v>
      </c>
    </row>
    <row r="1017" spans="1:17" hidden="1" x14ac:dyDescent="0.3">
      <c r="A1017">
        <v>202400220</v>
      </c>
      <c r="B1017" s="1">
        <v>45426</v>
      </c>
      <c r="C1017">
        <v>2024</v>
      </c>
      <c r="D1017">
        <v>2</v>
      </c>
      <c r="E1017">
        <v>5</v>
      </c>
      <c r="F1017">
        <v>21</v>
      </c>
      <c r="G1017" s="2" t="s">
        <v>53</v>
      </c>
      <c r="H1017" s="2" t="s">
        <v>26</v>
      </c>
      <c r="I1017" s="2" t="s">
        <v>78</v>
      </c>
      <c r="J1017" s="2" t="s">
        <v>75</v>
      </c>
      <c r="K1017" s="2" t="s">
        <v>47</v>
      </c>
      <c r="L1017">
        <v>2</v>
      </c>
      <c r="M1017">
        <v>1932.43</v>
      </c>
      <c r="N1017">
        <v>3864.86</v>
      </c>
      <c r="O1017" t="s">
        <v>36</v>
      </c>
      <c r="P1017" s="2" t="s">
        <v>43</v>
      </c>
      <c r="Q1017" s="2" t="s">
        <v>31</v>
      </c>
    </row>
    <row r="1018" spans="1:17" hidden="1" x14ac:dyDescent="0.3">
      <c r="A1018">
        <v>202400642</v>
      </c>
      <c r="B1018" s="1">
        <v>45529</v>
      </c>
      <c r="C1018">
        <v>2024</v>
      </c>
      <c r="D1018">
        <v>3</v>
      </c>
      <c r="E1018">
        <v>8</v>
      </c>
      <c r="F1018">
        <v>36</v>
      </c>
      <c r="G1018" s="2" t="s">
        <v>123</v>
      </c>
      <c r="H1018" s="2" t="s">
        <v>62</v>
      </c>
      <c r="I1018" s="2" t="s">
        <v>54</v>
      </c>
      <c r="J1018" s="2" t="s">
        <v>20</v>
      </c>
      <c r="K1018" s="2" t="s">
        <v>71</v>
      </c>
      <c r="L1018">
        <v>13</v>
      </c>
      <c r="M1018">
        <v>1056.3900000000001</v>
      </c>
      <c r="N1018">
        <v>13733.070000000002</v>
      </c>
      <c r="O1018" t="s">
        <v>22</v>
      </c>
      <c r="P1018" s="2" t="s">
        <v>30</v>
      </c>
      <c r="Q1018" s="2" t="s">
        <v>24</v>
      </c>
    </row>
    <row r="1019" spans="1:17" x14ac:dyDescent="0.3">
      <c r="A1019">
        <v>202400002</v>
      </c>
      <c r="B1019" s="1">
        <v>45295</v>
      </c>
      <c r="C1019">
        <v>2024</v>
      </c>
      <c r="D1019">
        <v>1</v>
      </c>
      <c r="E1019">
        <v>1</v>
      </c>
      <c r="F1019">
        <v>6</v>
      </c>
      <c r="G1019" s="2" t="s">
        <v>55</v>
      </c>
      <c r="H1019" s="2" t="s">
        <v>26</v>
      </c>
      <c r="I1019" s="2" t="s">
        <v>56</v>
      </c>
      <c r="J1019" s="2" t="s">
        <v>57</v>
      </c>
      <c r="K1019" s="2" t="s">
        <v>70</v>
      </c>
      <c r="L1019">
        <v>11</v>
      </c>
      <c r="M1019">
        <v>851.37</v>
      </c>
      <c r="N1019">
        <v>9365.07</v>
      </c>
      <c r="O1019" t="s">
        <v>22</v>
      </c>
      <c r="P1019" s="2" t="s">
        <v>43</v>
      </c>
      <c r="Q1019" s="2" t="s">
        <v>24</v>
      </c>
    </row>
    <row r="1020" spans="1:17" hidden="1" x14ac:dyDescent="0.3">
      <c r="A1020">
        <v>202400113</v>
      </c>
      <c r="B1020" s="1">
        <v>45628</v>
      </c>
      <c r="C1020">
        <v>2024</v>
      </c>
      <c r="D1020">
        <v>4</v>
      </c>
      <c r="E1020">
        <v>12</v>
      </c>
      <c r="F1020">
        <v>35</v>
      </c>
      <c r="G1020" s="2" t="s">
        <v>99</v>
      </c>
      <c r="H1020" s="2" t="s">
        <v>140</v>
      </c>
      <c r="I1020" s="2" t="s">
        <v>27</v>
      </c>
      <c r="J1020" s="2" t="s">
        <v>20</v>
      </c>
      <c r="K1020" s="2" t="s">
        <v>59</v>
      </c>
      <c r="L1020">
        <v>8</v>
      </c>
      <c r="M1020">
        <v>1894.83</v>
      </c>
      <c r="N1020">
        <v>15158.64</v>
      </c>
      <c r="O1020" t="s">
        <v>29</v>
      </c>
      <c r="P1020" s="2" t="s">
        <v>30</v>
      </c>
      <c r="Q1020" s="2" t="s">
        <v>45</v>
      </c>
    </row>
    <row r="1021" spans="1:17" hidden="1" x14ac:dyDescent="0.3">
      <c r="A1021">
        <v>202400699</v>
      </c>
      <c r="B1021" s="1">
        <v>45460</v>
      </c>
      <c r="C1021">
        <v>2024</v>
      </c>
      <c r="D1021">
        <v>2</v>
      </c>
      <c r="E1021">
        <v>6</v>
      </c>
      <c r="F1021">
        <v>62</v>
      </c>
      <c r="G1021" s="2" t="s">
        <v>118</v>
      </c>
      <c r="H1021" s="2" t="s">
        <v>18</v>
      </c>
      <c r="I1021" s="2" t="s">
        <v>54</v>
      </c>
      <c r="J1021" s="2" t="s">
        <v>20</v>
      </c>
      <c r="K1021" s="2" t="s">
        <v>35</v>
      </c>
      <c r="L1021">
        <v>7</v>
      </c>
      <c r="M1021">
        <v>332.63</v>
      </c>
      <c r="N1021">
        <v>2328.41</v>
      </c>
      <c r="O1021" t="s">
        <v>29</v>
      </c>
      <c r="P1021" s="2" t="s">
        <v>48</v>
      </c>
      <c r="Q1021" s="2" t="s">
        <v>45</v>
      </c>
    </row>
    <row r="1022" spans="1:17" hidden="1" x14ac:dyDescent="0.3">
      <c r="A1022">
        <v>202400952</v>
      </c>
      <c r="B1022" s="1">
        <v>45582</v>
      </c>
      <c r="C1022">
        <v>2024</v>
      </c>
      <c r="D1022">
        <v>4</v>
      </c>
      <c r="E1022">
        <v>10</v>
      </c>
      <c r="F1022">
        <v>59</v>
      </c>
      <c r="G1022" s="2" t="s">
        <v>73</v>
      </c>
      <c r="H1022" s="2" t="s">
        <v>62</v>
      </c>
      <c r="I1022" s="2" t="s">
        <v>74</v>
      </c>
      <c r="J1022" s="2" t="s">
        <v>75</v>
      </c>
      <c r="K1022" s="2" t="s">
        <v>52</v>
      </c>
      <c r="L1022">
        <v>3</v>
      </c>
      <c r="M1022">
        <v>65.61</v>
      </c>
      <c r="N1022">
        <v>196.82999999999998</v>
      </c>
      <c r="O1022" t="s">
        <v>29</v>
      </c>
      <c r="P1022" s="2" t="s">
        <v>43</v>
      </c>
      <c r="Q1022" s="2" t="s">
        <v>24</v>
      </c>
    </row>
    <row r="1023" spans="1:17" x14ac:dyDescent="0.3">
      <c r="A1023">
        <v>202401090</v>
      </c>
      <c r="B1023" s="1">
        <v>45317</v>
      </c>
      <c r="C1023">
        <v>2024</v>
      </c>
      <c r="D1023">
        <v>1</v>
      </c>
      <c r="E1023">
        <v>1</v>
      </c>
      <c r="F1023">
        <v>74</v>
      </c>
      <c r="G1023" s="2" t="s">
        <v>102</v>
      </c>
      <c r="H1023" s="2" t="s">
        <v>140</v>
      </c>
      <c r="I1023" s="2" t="s">
        <v>27</v>
      </c>
      <c r="J1023" s="2" t="s">
        <v>20</v>
      </c>
      <c r="K1023" s="2" t="s">
        <v>70</v>
      </c>
      <c r="L1023">
        <v>6</v>
      </c>
      <c r="M1023">
        <v>1594.56</v>
      </c>
      <c r="N1023">
        <v>9567.36</v>
      </c>
      <c r="O1023" t="s">
        <v>29</v>
      </c>
      <c r="P1023" s="2" t="s">
        <v>30</v>
      </c>
      <c r="Q1023" s="2" t="s">
        <v>24</v>
      </c>
    </row>
    <row r="1024" spans="1:17" x14ac:dyDescent="0.3">
      <c r="A1024">
        <v>202400442</v>
      </c>
      <c r="B1024" s="1">
        <v>45377</v>
      </c>
      <c r="C1024">
        <v>2024</v>
      </c>
      <c r="D1024">
        <v>1</v>
      </c>
      <c r="E1024">
        <v>3</v>
      </c>
      <c r="F1024">
        <v>26</v>
      </c>
      <c r="G1024" s="2" t="s">
        <v>89</v>
      </c>
      <c r="H1024" s="2" t="s">
        <v>62</v>
      </c>
      <c r="I1024" s="2" t="s">
        <v>67</v>
      </c>
      <c r="J1024" s="2" t="s">
        <v>20</v>
      </c>
      <c r="K1024" s="2" t="s">
        <v>97</v>
      </c>
      <c r="L1024">
        <v>12</v>
      </c>
      <c r="M1024">
        <v>815.71</v>
      </c>
      <c r="N1024">
        <v>9788.52</v>
      </c>
      <c r="O1024" t="s">
        <v>22</v>
      </c>
      <c r="P1024" s="2" t="s">
        <v>48</v>
      </c>
      <c r="Q1024" s="2" t="s">
        <v>24</v>
      </c>
    </row>
    <row r="1025" spans="1:17" hidden="1" x14ac:dyDescent="0.3">
      <c r="A1025">
        <v>202400664</v>
      </c>
      <c r="B1025" s="1">
        <v>45567</v>
      </c>
      <c r="C1025">
        <v>2024</v>
      </c>
      <c r="D1025">
        <v>4</v>
      </c>
      <c r="E1025">
        <v>10</v>
      </c>
      <c r="F1025">
        <v>44</v>
      </c>
      <c r="G1025" s="2" t="s">
        <v>129</v>
      </c>
      <c r="H1025" s="2" t="s">
        <v>140</v>
      </c>
      <c r="I1025" s="2" t="s">
        <v>27</v>
      </c>
      <c r="J1025" s="2" t="s">
        <v>20</v>
      </c>
      <c r="K1025" s="2" t="s">
        <v>50</v>
      </c>
      <c r="L1025">
        <v>4</v>
      </c>
      <c r="M1025">
        <v>477.46</v>
      </c>
      <c r="N1025">
        <v>1909.84</v>
      </c>
      <c r="O1025" t="s">
        <v>29</v>
      </c>
      <c r="P1025" s="2" t="s">
        <v>23</v>
      </c>
      <c r="Q1025" s="2" t="s">
        <v>24</v>
      </c>
    </row>
    <row r="1026" spans="1:17" x14ac:dyDescent="0.3">
      <c r="A1026">
        <v>202401107</v>
      </c>
      <c r="B1026" s="1">
        <v>45370</v>
      </c>
      <c r="C1026">
        <v>2024</v>
      </c>
      <c r="D1026">
        <v>1</v>
      </c>
      <c r="E1026">
        <v>3</v>
      </c>
      <c r="F1026">
        <v>40</v>
      </c>
      <c r="G1026" s="2" t="s">
        <v>125</v>
      </c>
      <c r="H1026" s="2" t="s">
        <v>69</v>
      </c>
      <c r="I1026" s="2" t="s">
        <v>126</v>
      </c>
      <c r="J1026" s="2" t="s">
        <v>20</v>
      </c>
      <c r="K1026" s="2" t="s">
        <v>60</v>
      </c>
      <c r="L1026">
        <v>7</v>
      </c>
      <c r="M1026">
        <v>1342.31</v>
      </c>
      <c r="N1026">
        <v>9396.17</v>
      </c>
      <c r="O1026" t="s">
        <v>29</v>
      </c>
      <c r="P1026" s="2" t="s">
        <v>43</v>
      </c>
      <c r="Q1026" s="2" t="s">
        <v>24</v>
      </c>
    </row>
    <row r="1027" spans="1:17" hidden="1" x14ac:dyDescent="0.3">
      <c r="A1027">
        <v>202400318</v>
      </c>
      <c r="B1027" s="1">
        <v>45554</v>
      </c>
      <c r="C1027">
        <v>2024</v>
      </c>
      <c r="D1027">
        <v>3</v>
      </c>
      <c r="E1027">
        <v>9</v>
      </c>
      <c r="F1027">
        <v>72</v>
      </c>
      <c r="G1027" s="2" t="s">
        <v>100</v>
      </c>
      <c r="H1027" s="2" t="s">
        <v>140</v>
      </c>
      <c r="I1027" s="2" t="s">
        <v>33</v>
      </c>
      <c r="J1027" s="2" t="s">
        <v>34</v>
      </c>
      <c r="K1027" s="2" t="s">
        <v>47</v>
      </c>
      <c r="L1027">
        <v>12</v>
      </c>
      <c r="M1027">
        <v>1260.79</v>
      </c>
      <c r="N1027">
        <v>15129.48</v>
      </c>
      <c r="O1027" t="s">
        <v>22</v>
      </c>
      <c r="P1027" s="2" t="s">
        <v>43</v>
      </c>
      <c r="Q1027" s="2" t="s">
        <v>24</v>
      </c>
    </row>
    <row r="1028" spans="1:17" x14ac:dyDescent="0.3">
      <c r="A1028">
        <v>202400649</v>
      </c>
      <c r="B1028" s="1">
        <v>45322</v>
      </c>
      <c r="C1028">
        <v>2024</v>
      </c>
      <c r="D1028">
        <v>1</v>
      </c>
      <c r="E1028">
        <v>1</v>
      </c>
      <c r="F1028">
        <v>61</v>
      </c>
      <c r="G1028" s="2" t="s">
        <v>90</v>
      </c>
      <c r="H1028" s="2" t="s">
        <v>69</v>
      </c>
      <c r="I1028" s="2" t="s">
        <v>65</v>
      </c>
      <c r="J1028" s="2" t="s">
        <v>34</v>
      </c>
      <c r="K1028" s="2" t="s">
        <v>52</v>
      </c>
      <c r="L1028">
        <v>8</v>
      </c>
      <c r="M1028">
        <v>1836.95</v>
      </c>
      <c r="N1028">
        <v>14695.6</v>
      </c>
      <c r="O1028" t="s">
        <v>29</v>
      </c>
      <c r="P1028" s="2" t="s">
        <v>43</v>
      </c>
      <c r="Q1028" s="2" t="s">
        <v>24</v>
      </c>
    </row>
    <row r="1029" spans="1:17" hidden="1" x14ac:dyDescent="0.3">
      <c r="A1029">
        <v>202400710</v>
      </c>
      <c r="B1029" s="1">
        <v>45492</v>
      </c>
      <c r="C1029">
        <v>2024</v>
      </c>
      <c r="D1029">
        <v>3</v>
      </c>
      <c r="E1029">
        <v>7</v>
      </c>
      <c r="F1029">
        <v>37</v>
      </c>
      <c r="G1029" s="2" t="s">
        <v>96</v>
      </c>
      <c r="H1029" s="2" t="s">
        <v>62</v>
      </c>
      <c r="I1029" s="2" t="s">
        <v>56</v>
      </c>
      <c r="J1029" s="2" t="s">
        <v>57</v>
      </c>
      <c r="K1029" s="2" t="s">
        <v>58</v>
      </c>
      <c r="L1029">
        <v>13</v>
      </c>
      <c r="M1029">
        <v>91.95</v>
      </c>
      <c r="N1029">
        <v>1195.3500000000001</v>
      </c>
      <c r="O1029" t="s">
        <v>22</v>
      </c>
      <c r="P1029" s="2" t="s">
        <v>43</v>
      </c>
      <c r="Q1029" s="2" t="s">
        <v>31</v>
      </c>
    </row>
    <row r="1030" spans="1:17" hidden="1" x14ac:dyDescent="0.3">
      <c r="A1030">
        <v>202400973</v>
      </c>
      <c r="B1030" s="1">
        <v>45402</v>
      </c>
      <c r="C1030">
        <v>2024</v>
      </c>
      <c r="D1030">
        <v>2</v>
      </c>
      <c r="E1030">
        <v>4</v>
      </c>
      <c r="F1030">
        <v>48</v>
      </c>
      <c r="G1030" s="2" t="s">
        <v>82</v>
      </c>
      <c r="H1030" s="2" t="s">
        <v>140</v>
      </c>
      <c r="I1030" s="2" t="s">
        <v>78</v>
      </c>
      <c r="J1030" s="2" t="s">
        <v>75</v>
      </c>
      <c r="K1030" s="2" t="s">
        <v>50</v>
      </c>
      <c r="L1030">
        <v>7</v>
      </c>
      <c r="M1030">
        <v>1247.77</v>
      </c>
      <c r="N1030">
        <v>8734.39</v>
      </c>
      <c r="O1030" t="s">
        <v>29</v>
      </c>
      <c r="P1030" s="2" t="s">
        <v>30</v>
      </c>
      <c r="Q1030" s="2" t="s">
        <v>49</v>
      </c>
    </row>
    <row r="1031" spans="1:17" hidden="1" x14ac:dyDescent="0.3">
      <c r="A1031">
        <v>202400628</v>
      </c>
      <c r="B1031" s="1">
        <v>45651</v>
      </c>
      <c r="C1031">
        <v>2024</v>
      </c>
      <c r="D1031">
        <v>4</v>
      </c>
      <c r="E1031">
        <v>12</v>
      </c>
      <c r="F1031">
        <v>34</v>
      </c>
      <c r="G1031" s="2" t="s">
        <v>95</v>
      </c>
      <c r="H1031" s="2" t="s">
        <v>18</v>
      </c>
      <c r="I1031" s="2" t="s">
        <v>54</v>
      </c>
      <c r="J1031" s="2" t="s">
        <v>20</v>
      </c>
      <c r="K1031" s="2" t="s">
        <v>52</v>
      </c>
      <c r="L1031">
        <v>9</v>
      </c>
      <c r="M1031">
        <v>962.44</v>
      </c>
      <c r="N1031">
        <v>8661.9600000000009</v>
      </c>
      <c r="O1031" t="s">
        <v>29</v>
      </c>
      <c r="P1031" s="2" t="s">
        <v>43</v>
      </c>
      <c r="Q1031" s="2" t="s">
        <v>45</v>
      </c>
    </row>
    <row r="1032" spans="1:17" hidden="1" x14ac:dyDescent="0.3">
      <c r="A1032">
        <v>202400633</v>
      </c>
      <c r="B1032" s="1">
        <v>45640</v>
      </c>
      <c r="C1032">
        <v>2024</v>
      </c>
      <c r="D1032">
        <v>4</v>
      </c>
      <c r="E1032">
        <v>12</v>
      </c>
      <c r="F1032">
        <v>45</v>
      </c>
      <c r="G1032" s="2" t="s">
        <v>103</v>
      </c>
      <c r="H1032" s="2" t="s">
        <v>26</v>
      </c>
      <c r="I1032" s="2" t="s">
        <v>56</v>
      </c>
      <c r="J1032" s="2" t="s">
        <v>57</v>
      </c>
      <c r="K1032" s="2" t="s">
        <v>59</v>
      </c>
      <c r="L1032">
        <v>10</v>
      </c>
      <c r="M1032">
        <v>1461.44</v>
      </c>
      <c r="N1032">
        <v>14614.400000000001</v>
      </c>
      <c r="O1032" t="s">
        <v>22</v>
      </c>
      <c r="P1032" s="2" t="s">
        <v>23</v>
      </c>
      <c r="Q1032" s="2" t="s">
        <v>40</v>
      </c>
    </row>
    <row r="1033" spans="1:17" x14ac:dyDescent="0.3">
      <c r="A1033">
        <v>202401183</v>
      </c>
      <c r="B1033" s="1">
        <v>45340</v>
      </c>
      <c r="C1033">
        <v>2024</v>
      </c>
      <c r="D1033">
        <v>1</v>
      </c>
      <c r="E1033">
        <v>2</v>
      </c>
      <c r="F1033">
        <v>7</v>
      </c>
      <c r="G1033" s="2" t="s">
        <v>25</v>
      </c>
      <c r="H1033" s="2" t="s">
        <v>26</v>
      </c>
      <c r="I1033" s="2" t="s">
        <v>27</v>
      </c>
      <c r="J1033" s="2" t="s">
        <v>20</v>
      </c>
      <c r="K1033" s="2" t="s">
        <v>51</v>
      </c>
      <c r="L1033">
        <v>9</v>
      </c>
      <c r="M1033">
        <v>1030.04</v>
      </c>
      <c r="N1033">
        <v>9270.36</v>
      </c>
      <c r="O1033" t="s">
        <v>29</v>
      </c>
      <c r="P1033" s="2" t="s">
        <v>43</v>
      </c>
      <c r="Q1033" s="2" t="s">
        <v>49</v>
      </c>
    </row>
    <row r="1034" spans="1:17" hidden="1" x14ac:dyDescent="0.3">
      <c r="A1034">
        <v>202401118</v>
      </c>
      <c r="B1034" s="1">
        <v>45549</v>
      </c>
      <c r="C1034">
        <v>2024</v>
      </c>
      <c r="D1034">
        <v>3</v>
      </c>
      <c r="E1034">
        <v>9</v>
      </c>
      <c r="F1034">
        <v>57</v>
      </c>
      <c r="G1034" s="2" t="s">
        <v>53</v>
      </c>
      <c r="H1034" s="2" t="s">
        <v>18</v>
      </c>
      <c r="I1034" s="2" t="s">
        <v>54</v>
      </c>
      <c r="J1034" s="2" t="s">
        <v>20</v>
      </c>
      <c r="K1034" s="2" t="s">
        <v>97</v>
      </c>
      <c r="L1034">
        <v>9</v>
      </c>
      <c r="M1034">
        <v>454.76</v>
      </c>
      <c r="N1034">
        <v>4092.84</v>
      </c>
      <c r="O1034" t="s">
        <v>29</v>
      </c>
      <c r="P1034" s="2" t="s">
        <v>30</v>
      </c>
      <c r="Q1034" s="2" t="s">
        <v>24</v>
      </c>
    </row>
    <row r="1035" spans="1:17" hidden="1" x14ac:dyDescent="0.3">
      <c r="A1035">
        <v>202400796</v>
      </c>
      <c r="B1035" s="1">
        <v>45463</v>
      </c>
      <c r="C1035">
        <v>2024</v>
      </c>
      <c r="D1035">
        <v>2</v>
      </c>
      <c r="E1035">
        <v>6</v>
      </c>
      <c r="F1035">
        <v>48</v>
      </c>
      <c r="G1035" s="2" t="s">
        <v>82</v>
      </c>
      <c r="H1035" s="2" t="s">
        <v>140</v>
      </c>
      <c r="I1035" s="2" t="s">
        <v>78</v>
      </c>
      <c r="J1035" s="2" t="s">
        <v>75</v>
      </c>
      <c r="K1035" s="2" t="s">
        <v>58</v>
      </c>
      <c r="L1035">
        <v>1</v>
      </c>
      <c r="M1035">
        <v>921.14</v>
      </c>
      <c r="N1035">
        <v>921.14</v>
      </c>
      <c r="O1035" t="s">
        <v>36</v>
      </c>
      <c r="P1035" s="2" t="s">
        <v>30</v>
      </c>
      <c r="Q1035" s="2" t="s">
        <v>24</v>
      </c>
    </row>
    <row r="1036" spans="1:17" hidden="1" x14ac:dyDescent="0.3">
      <c r="A1036">
        <v>202400646</v>
      </c>
      <c r="B1036" s="1">
        <v>45402</v>
      </c>
      <c r="C1036">
        <v>2024</v>
      </c>
      <c r="D1036">
        <v>2</v>
      </c>
      <c r="E1036">
        <v>4</v>
      </c>
      <c r="F1036">
        <v>63</v>
      </c>
      <c r="G1036" s="2" t="s">
        <v>64</v>
      </c>
      <c r="H1036" s="2" t="s">
        <v>69</v>
      </c>
      <c r="I1036" s="2" t="s">
        <v>65</v>
      </c>
      <c r="J1036" s="2" t="s">
        <v>34</v>
      </c>
      <c r="K1036" s="2" t="s">
        <v>42</v>
      </c>
      <c r="L1036">
        <v>6</v>
      </c>
      <c r="M1036">
        <v>528.85</v>
      </c>
      <c r="N1036">
        <v>3173.1000000000004</v>
      </c>
      <c r="O1036" t="s">
        <v>29</v>
      </c>
      <c r="P1036" s="2" t="s">
        <v>30</v>
      </c>
      <c r="Q1036" s="2" t="s">
        <v>24</v>
      </c>
    </row>
    <row r="1037" spans="1:17" x14ac:dyDescent="0.3">
      <c r="A1037">
        <v>202401013</v>
      </c>
      <c r="B1037" s="1">
        <v>45328</v>
      </c>
      <c r="C1037">
        <v>2024</v>
      </c>
      <c r="D1037">
        <v>1</v>
      </c>
      <c r="E1037">
        <v>2</v>
      </c>
      <c r="F1037">
        <v>38</v>
      </c>
      <c r="G1037" s="2" t="s">
        <v>92</v>
      </c>
      <c r="H1037" s="2" t="s">
        <v>18</v>
      </c>
      <c r="I1037" s="2" t="s">
        <v>78</v>
      </c>
      <c r="J1037" s="2" t="s">
        <v>75</v>
      </c>
      <c r="K1037" s="2" t="s">
        <v>28</v>
      </c>
      <c r="L1037">
        <v>6</v>
      </c>
      <c r="M1037">
        <v>1769.26</v>
      </c>
      <c r="N1037">
        <v>10615.56</v>
      </c>
      <c r="O1037" t="s">
        <v>29</v>
      </c>
      <c r="P1037" s="2" t="s">
        <v>43</v>
      </c>
      <c r="Q1037" s="2" t="s">
        <v>24</v>
      </c>
    </row>
    <row r="1038" spans="1:17" hidden="1" x14ac:dyDescent="0.3">
      <c r="A1038">
        <v>202400557</v>
      </c>
      <c r="B1038" s="1">
        <v>45557</v>
      </c>
      <c r="C1038">
        <v>2024</v>
      </c>
      <c r="D1038">
        <v>3</v>
      </c>
      <c r="E1038">
        <v>9</v>
      </c>
      <c r="F1038">
        <v>80</v>
      </c>
      <c r="G1038" s="2" t="s">
        <v>76</v>
      </c>
      <c r="H1038" s="2" t="s">
        <v>26</v>
      </c>
      <c r="I1038" s="2" t="s">
        <v>54</v>
      </c>
      <c r="J1038" s="2" t="s">
        <v>20</v>
      </c>
      <c r="K1038" s="2" t="s">
        <v>59</v>
      </c>
      <c r="L1038">
        <v>2</v>
      </c>
      <c r="M1038">
        <v>1342.28</v>
      </c>
      <c r="N1038">
        <v>2684.56</v>
      </c>
      <c r="O1038" t="s">
        <v>36</v>
      </c>
      <c r="P1038" s="2" t="s">
        <v>43</v>
      </c>
      <c r="Q1038" s="2" t="s">
        <v>24</v>
      </c>
    </row>
    <row r="1039" spans="1:17" hidden="1" x14ac:dyDescent="0.3">
      <c r="A1039">
        <v>202400682</v>
      </c>
      <c r="B1039" s="1">
        <v>45441</v>
      </c>
      <c r="C1039">
        <v>2024</v>
      </c>
      <c r="D1039">
        <v>2</v>
      </c>
      <c r="E1039">
        <v>5</v>
      </c>
      <c r="F1039">
        <v>21</v>
      </c>
      <c r="G1039" s="2" t="s">
        <v>53</v>
      </c>
      <c r="H1039" s="2" t="s">
        <v>26</v>
      </c>
      <c r="I1039" s="2" t="s">
        <v>78</v>
      </c>
      <c r="J1039" s="2" t="s">
        <v>75</v>
      </c>
      <c r="K1039" s="2" t="s">
        <v>71</v>
      </c>
      <c r="L1039">
        <v>11</v>
      </c>
      <c r="M1039">
        <v>1419.52</v>
      </c>
      <c r="N1039">
        <v>15614.72</v>
      </c>
      <c r="O1039" t="s">
        <v>22</v>
      </c>
      <c r="P1039" s="2" t="s">
        <v>30</v>
      </c>
      <c r="Q1039" s="2" t="s">
        <v>24</v>
      </c>
    </row>
    <row r="1040" spans="1:17" hidden="1" x14ac:dyDescent="0.3">
      <c r="A1040">
        <v>202400578</v>
      </c>
      <c r="B1040" s="1">
        <v>45542</v>
      </c>
      <c r="C1040">
        <v>2024</v>
      </c>
      <c r="D1040">
        <v>3</v>
      </c>
      <c r="E1040">
        <v>9</v>
      </c>
      <c r="F1040">
        <v>8</v>
      </c>
      <c r="G1040" s="2" t="s">
        <v>63</v>
      </c>
      <c r="H1040" s="2" t="s">
        <v>26</v>
      </c>
      <c r="I1040" s="2" t="s">
        <v>54</v>
      </c>
      <c r="J1040" s="2" t="s">
        <v>20</v>
      </c>
      <c r="K1040" s="2" t="s">
        <v>42</v>
      </c>
      <c r="L1040">
        <v>2</v>
      </c>
      <c r="M1040">
        <v>403.93</v>
      </c>
      <c r="N1040">
        <v>807.86</v>
      </c>
      <c r="O1040" t="s">
        <v>36</v>
      </c>
      <c r="P1040" s="2" t="s">
        <v>43</v>
      </c>
      <c r="Q1040" s="2" t="s">
        <v>24</v>
      </c>
    </row>
    <row r="1041" spans="1:17" hidden="1" x14ac:dyDescent="0.3">
      <c r="A1041">
        <v>202400525</v>
      </c>
      <c r="B1041" s="1">
        <v>45608</v>
      </c>
      <c r="C1041">
        <v>2024</v>
      </c>
      <c r="D1041">
        <v>4</v>
      </c>
      <c r="E1041">
        <v>11</v>
      </c>
      <c r="F1041">
        <v>47</v>
      </c>
      <c r="G1041" s="2" t="s">
        <v>120</v>
      </c>
      <c r="H1041" s="2" t="s">
        <v>140</v>
      </c>
      <c r="I1041" s="2" t="s">
        <v>38</v>
      </c>
      <c r="J1041" s="2" t="s">
        <v>20</v>
      </c>
      <c r="K1041" s="2" t="s">
        <v>51</v>
      </c>
      <c r="L1041">
        <v>9</v>
      </c>
      <c r="M1041">
        <v>1412.08</v>
      </c>
      <c r="N1041">
        <v>12708.72</v>
      </c>
      <c r="O1041" t="s">
        <v>29</v>
      </c>
      <c r="P1041" s="2" t="s">
        <v>48</v>
      </c>
      <c r="Q1041" s="2" t="s">
        <v>31</v>
      </c>
    </row>
    <row r="1042" spans="1:17" hidden="1" x14ac:dyDescent="0.3">
      <c r="A1042">
        <v>202401060</v>
      </c>
      <c r="B1042" s="1">
        <v>45432</v>
      </c>
      <c r="C1042">
        <v>2024</v>
      </c>
      <c r="D1042">
        <v>2</v>
      </c>
      <c r="E1042">
        <v>5</v>
      </c>
      <c r="F1042">
        <v>65</v>
      </c>
      <c r="G1042" s="2" t="s">
        <v>112</v>
      </c>
      <c r="H1042" s="2" t="s">
        <v>69</v>
      </c>
      <c r="I1042" s="2" t="s">
        <v>19</v>
      </c>
      <c r="J1042" s="2" t="s">
        <v>20</v>
      </c>
      <c r="K1042" s="2" t="s">
        <v>59</v>
      </c>
      <c r="L1042">
        <v>8</v>
      </c>
      <c r="M1042">
        <v>1514.87</v>
      </c>
      <c r="N1042">
        <v>12118.96</v>
      </c>
      <c r="O1042" t="s">
        <v>29</v>
      </c>
      <c r="P1042" s="2" t="s">
        <v>43</v>
      </c>
      <c r="Q1042" s="2" t="s">
        <v>45</v>
      </c>
    </row>
    <row r="1043" spans="1:17" x14ac:dyDescent="0.3">
      <c r="A1043">
        <v>202400541</v>
      </c>
      <c r="B1043" s="1">
        <v>45303</v>
      </c>
      <c r="C1043">
        <v>2024</v>
      </c>
      <c r="D1043">
        <v>1</v>
      </c>
      <c r="E1043">
        <v>1</v>
      </c>
      <c r="F1043">
        <v>46</v>
      </c>
      <c r="G1043" s="2" t="s">
        <v>88</v>
      </c>
      <c r="H1043" s="2" t="s">
        <v>26</v>
      </c>
      <c r="I1043" s="2" t="s">
        <v>85</v>
      </c>
      <c r="J1043" s="2" t="s">
        <v>57</v>
      </c>
      <c r="K1043" s="2" t="s">
        <v>47</v>
      </c>
      <c r="L1043">
        <v>8</v>
      </c>
      <c r="M1043">
        <v>688.93</v>
      </c>
      <c r="N1043">
        <v>5511.44</v>
      </c>
      <c r="O1043" t="s">
        <v>29</v>
      </c>
      <c r="P1043" s="2" t="s">
        <v>30</v>
      </c>
      <c r="Q1043" s="2" t="s">
        <v>24</v>
      </c>
    </row>
    <row r="1044" spans="1:17" hidden="1" x14ac:dyDescent="0.3">
      <c r="A1044">
        <v>202400749</v>
      </c>
      <c r="B1044" s="1">
        <v>45515</v>
      </c>
      <c r="C1044">
        <v>2024</v>
      </c>
      <c r="D1044">
        <v>3</v>
      </c>
      <c r="E1044">
        <v>8</v>
      </c>
      <c r="F1044">
        <v>42</v>
      </c>
      <c r="G1044" s="2" t="s">
        <v>46</v>
      </c>
      <c r="H1044" s="2" t="s">
        <v>26</v>
      </c>
      <c r="I1044" s="2" t="s">
        <v>38</v>
      </c>
      <c r="J1044" s="2" t="s">
        <v>20</v>
      </c>
      <c r="K1044" s="2" t="s">
        <v>50</v>
      </c>
      <c r="L1044">
        <v>8</v>
      </c>
      <c r="M1044">
        <v>1346.86</v>
      </c>
      <c r="N1044">
        <v>10774.88</v>
      </c>
      <c r="O1044" t="s">
        <v>29</v>
      </c>
      <c r="P1044" s="2" t="s">
        <v>43</v>
      </c>
      <c r="Q1044" s="2" t="s">
        <v>24</v>
      </c>
    </row>
    <row r="1045" spans="1:17" x14ac:dyDescent="0.3">
      <c r="A1045">
        <v>202401121</v>
      </c>
      <c r="B1045" s="1">
        <v>45339</v>
      </c>
      <c r="C1045">
        <v>2024</v>
      </c>
      <c r="D1045">
        <v>1</v>
      </c>
      <c r="E1045">
        <v>2</v>
      </c>
      <c r="F1045">
        <v>49</v>
      </c>
      <c r="G1045" s="2" t="s">
        <v>83</v>
      </c>
      <c r="H1045" s="2" t="s">
        <v>69</v>
      </c>
      <c r="I1045" s="2" t="s">
        <v>56</v>
      </c>
      <c r="J1045" s="2" t="s">
        <v>57</v>
      </c>
      <c r="K1045" s="2" t="s">
        <v>50</v>
      </c>
      <c r="L1045">
        <v>5</v>
      </c>
      <c r="M1045">
        <v>1637.3</v>
      </c>
      <c r="N1045">
        <v>8186.5</v>
      </c>
      <c r="O1045" t="s">
        <v>29</v>
      </c>
      <c r="P1045" s="2" t="s">
        <v>30</v>
      </c>
      <c r="Q1045" s="2" t="s">
        <v>24</v>
      </c>
    </row>
    <row r="1046" spans="1:17" x14ac:dyDescent="0.3">
      <c r="A1046">
        <v>202400485</v>
      </c>
      <c r="B1046" s="1">
        <v>45331</v>
      </c>
      <c r="C1046">
        <v>2024</v>
      </c>
      <c r="D1046">
        <v>1</v>
      </c>
      <c r="E1046">
        <v>2</v>
      </c>
      <c r="F1046">
        <v>38</v>
      </c>
      <c r="G1046" s="2" t="s">
        <v>92</v>
      </c>
      <c r="H1046" s="2" t="s">
        <v>18</v>
      </c>
      <c r="I1046" s="2" t="s">
        <v>78</v>
      </c>
      <c r="J1046" s="2" t="s">
        <v>75</v>
      </c>
      <c r="K1046" s="2" t="s">
        <v>35</v>
      </c>
      <c r="L1046">
        <v>1</v>
      </c>
      <c r="M1046">
        <v>920.72</v>
      </c>
      <c r="N1046">
        <v>920.72</v>
      </c>
      <c r="O1046" t="s">
        <v>36</v>
      </c>
      <c r="P1046" s="2" t="s">
        <v>43</v>
      </c>
      <c r="Q1046" s="2" t="s">
        <v>24</v>
      </c>
    </row>
    <row r="1047" spans="1:17" hidden="1" x14ac:dyDescent="0.3">
      <c r="A1047">
        <v>202400096</v>
      </c>
      <c r="B1047" s="1">
        <v>45510</v>
      </c>
      <c r="C1047">
        <v>2024</v>
      </c>
      <c r="D1047">
        <v>3</v>
      </c>
      <c r="E1047">
        <v>8</v>
      </c>
      <c r="F1047">
        <v>46</v>
      </c>
      <c r="G1047" s="2" t="s">
        <v>88</v>
      </c>
      <c r="H1047" s="2" t="s">
        <v>26</v>
      </c>
      <c r="I1047" s="2" t="s">
        <v>85</v>
      </c>
      <c r="J1047" s="2" t="s">
        <v>57</v>
      </c>
      <c r="K1047" s="2" t="s">
        <v>42</v>
      </c>
      <c r="L1047">
        <v>2</v>
      </c>
      <c r="M1047">
        <v>929.25</v>
      </c>
      <c r="N1047">
        <v>1858.5</v>
      </c>
      <c r="O1047" t="s">
        <v>36</v>
      </c>
      <c r="P1047" s="2" t="s">
        <v>48</v>
      </c>
      <c r="Q1047" s="2" t="s">
        <v>24</v>
      </c>
    </row>
    <row r="1048" spans="1:17" hidden="1" x14ac:dyDescent="0.3">
      <c r="A1048">
        <v>202401021</v>
      </c>
      <c r="B1048" s="1">
        <v>45578</v>
      </c>
      <c r="C1048">
        <v>2024</v>
      </c>
      <c r="D1048">
        <v>4</v>
      </c>
      <c r="E1048">
        <v>10</v>
      </c>
      <c r="F1048">
        <v>13</v>
      </c>
      <c r="G1048" s="2" t="s">
        <v>72</v>
      </c>
      <c r="H1048" s="2" t="s">
        <v>69</v>
      </c>
      <c r="I1048" s="2" t="s">
        <v>38</v>
      </c>
      <c r="J1048" s="2" t="s">
        <v>20</v>
      </c>
      <c r="K1048" s="2" t="s">
        <v>97</v>
      </c>
      <c r="L1048">
        <v>7</v>
      </c>
      <c r="M1048">
        <v>1238.49</v>
      </c>
      <c r="N1048">
        <v>8669.43</v>
      </c>
      <c r="O1048" t="s">
        <v>29</v>
      </c>
      <c r="P1048" s="2" t="s">
        <v>23</v>
      </c>
      <c r="Q1048" s="2" t="s">
        <v>31</v>
      </c>
    </row>
    <row r="1049" spans="1:17" hidden="1" x14ac:dyDescent="0.3">
      <c r="A1049">
        <v>202400564</v>
      </c>
      <c r="B1049" s="1">
        <v>45448</v>
      </c>
      <c r="C1049">
        <v>2024</v>
      </c>
      <c r="D1049">
        <v>2</v>
      </c>
      <c r="E1049">
        <v>6</v>
      </c>
      <c r="F1049">
        <v>8</v>
      </c>
      <c r="G1049" s="2" t="s">
        <v>63</v>
      </c>
      <c r="H1049" s="2" t="s">
        <v>26</v>
      </c>
      <c r="I1049" s="2" t="s">
        <v>54</v>
      </c>
      <c r="J1049" s="2" t="s">
        <v>20</v>
      </c>
      <c r="K1049" s="2" t="s">
        <v>60</v>
      </c>
      <c r="L1049">
        <v>8</v>
      </c>
      <c r="M1049">
        <v>910.84</v>
      </c>
      <c r="N1049">
        <v>7286.72</v>
      </c>
      <c r="O1049" t="s">
        <v>29</v>
      </c>
      <c r="P1049" s="2" t="s">
        <v>23</v>
      </c>
      <c r="Q1049" s="2" t="s">
        <v>45</v>
      </c>
    </row>
    <row r="1050" spans="1:17" x14ac:dyDescent="0.3">
      <c r="A1050">
        <v>202400743</v>
      </c>
      <c r="B1050" s="1">
        <v>45377</v>
      </c>
      <c r="C1050">
        <v>2024</v>
      </c>
      <c r="D1050">
        <v>1</v>
      </c>
      <c r="E1050">
        <v>3</v>
      </c>
      <c r="F1050">
        <v>12</v>
      </c>
      <c r="G1050" s="2" t="s">
        <v>119</v>
      </c>
      <c r="H1050" s="2" t="s">
        <v>26</v>
      </c>
      <c r="I1050" s="2" t="s">
        <v>67</v>
      </c>
      <c r="J1050" s="2" t="s">
        <v>20</v>
      </c>
      <c r="K1050" s="2" t="s">
        <v>59</v>
      </c>
      <c r="L1050">
        <v>8</v>
      </c>
      <c r="M1050">
        <v>1523.14</v>
      </c>
      <c r="N1050">
        <v>12185.12</v>
      </c>
      <c r="O1050" t="s">
        <v>29</v>
      </c>
      <c r="P1050" s="2" t="s">
        <v>23</v>
      </c>
      <c r="Q1050" s="2" t="s">
        <v>40</v>
      </c>
    </row>
    <row r="1051" spans="1:17" hidden="1" x14ac:dyDescent="0.3">
      <c r="A1051">
        <v>202400864</v>
      </c>
      <c r="B1051" s="1">
        <v>45541</v>
      </c>
      <c r="C1051">
        <v>2024</v>
      </c>
      <c r="D1051">
        <v>3</v>
      </c>
      <c r="E1051">
        <v>9</v>
      </c>
      <c r="F1051">
        <v>23</v>
      </c>
      <c r="G1051" s="2" t="s">
        <v>86</v>
      </c>
      <c r="H1051" s="2" t="s">
        <v>26</v>
      </c>
      <c r="I1051" s="2" t="s">
        <v>33</v>
      </c>
      <c r="J1051" s="2" t="s">
        <v>34</v>
      </c>
      <c r="K1051" s="2" t="s">
        <v>71</v>
      </c>
      <c r="L1051">
        <v>2</v>
      </c>
      <c r="M1051">
        <v>1999.23</v>
      </c>
      <c r="N1051">
        <v>3998.46</v>
      </c>
      <c r="O1051" t="s">
        <v>36</v>
      </c>
      <c r="P1051" s="2" t="s">
        <v>48</v>
      </c>
      <c r="Q1051" s="2" t="s">
        <v>49</v>
      </c>
    </row>
    <row r="1052" spans="1:17" hidden="1" x14ac:dyDescent="0.3">
      <c r="A1052">
        <v>202400892</v>
      </c>
      <c r="B1052" s="1">
        <v>45504</v>
      </c>
      <c r="C1052">
        <v>2024</v>
      </c>
      <c r="D1052">
        <v>3</v>
      </c>
      <c r="E1052">
        <v>7</v>
      </c>
      <c r="F1052">
        <v>72</v>
      </c>
      <c r="G1052" s="2" t="s">
        <v>100</v>
      </c>
      <c r="H1052" s="2" t="s">
        <v>140</v>
      </c>
      <c r="I1052" s="2" t="s">
        <v>33</v>
      </c>
      <c r="J1052" s="2" t="s">
        <v>34</v>
      </c>
      <c r="K1052" s="2" t="s">
        <v>71</v>
      </c>
      <c r="L1052">
        <v>8</v>
      </c>
      <c r="M1052">
        <v>1208.8499999999999</v>
      </c>
      <c r="N1052">
        <v>9670.7999999999993</v>
      </c>
      <c r="O1052" t="s">
        <v>29</v>
      </c>
      <c r="P1052" s="2" t="s">
        <v>43</v>
      </c>
      <c r="Q1052" s="2" t="s">
        <v>41</v>
      </c>
    </row>
    <row r="1053" spans="1:17" hidden="1" x14ac:dyDescent="0.3">
      <c r="A1053">
        <v>202401039</v>
      </c>
      <c r="B1053" s="1">
        <v>45565</v>
      </c>
      <c r="C1053">
        <v>2024</v>
      </c>
      <c r="D1053">
        <v>3</v>
      </c>
      <c r="E1053">
        <v>9</v>
      </c>
      <c r="F1053">
        <v>39</v>
      </c>
      <c r="G1053" s="2" t="s">
        <v>98</v>
      </c>
      <c r="H1053" s="2" t="s">
        <v>18</v>
      </c>
      <c r="I1053" s="2" t="s">
        <v>19</v>
      </c>
      <c r="J1053" s="2" t="s">
        <v>20</v>
      </c>
      <c r="K1053" s="2" t="s">
        <v>97</v>
      </c>
      <c r="L1053">
        <v>13</v>
      </c>
      <c r="M1053">
        <v>1384.72</v>
      </c>
      <c r="N1053">
        <v>18001.36</v>
      </c>
      <c r="O1053" t="s">
        <v>22</v>
      </c>
      <c r="P1053" s="2" t="s">
        <v>30</v>
      </c>
      <c r="Q1053" s="2" t="s">
        <v>24</v>
      </c>
    </row>
    <row r="1054" spans="1:17" hidden="1" x14ac:dyDescent="0.3">
      <c r="A1054">
        <v>202400207</v>
      </c>
      <c r="B1054" s="1">
        <v>45620</v>
      </c>
      <c r="C1054">
        <v>2024</v>
      </c>
      <c r="D1054">
        <v>4</v>
      </c>
      <c r="E1054">
        <v>11</v>
      </c>
      <c r="F1054">
        <v>53</v>
      </c>
      <c r="G1054" s="2" t="s">
        <v>113</v>
      </c>
      <c r="H1054" s="2" t="s">
        <v>26</v>
      </c>
      <c r="I1054" s="2" t="s">
        <v>27</v>
      </c>
      <c r="J1054" s="2" t="s">
        <v>20</v>
      </c>
      <c r="K1054" s="2" t="s">
        <v>47</v>
      </c>
      <c r="L1054">
        <v>14</v>
      </c>
      <c r="M1054">
        <v>953.84</v>
      </c>
      <c r="N1054">
        <v>13353.76</v>
      </c>
      <c r="O1054" t="s">
        <v>22</v>
      </c>
      <c r="P1054" s="2" t="s">
        <v>43</v>
      </c>
      <c r="Q1054" s="2" t="s">
        <v>31</v>
      </c>
    </row>
    <row r="1055" spans="1:17" hidden="1" x14ac:dyDescent="0.3">
      <c r="A1055">
        <v>202400393</v>
      </c>
      <c r="B1055" s="1">
        <v>45543</v>
      </c>
      <c r="C1055">
        <v>2024</v>
      </c>
      <c r="D1055">
        <v>3</v>
      </c>
      <c r="E1055">
        <v>9</v>
      </c>
      <c r="F1055">
        <v>9</v>
      </c>
      <c r="G1055" s="2" t="s">
        <v>44</v>
      </c>
      <c r="H1055" s="2" t="s">
        <v>62</v>
      </c>
      <c r="I1055" s="2" t="s">
        <v>78</v>
      </c>
      <c r="J1055" s="2" t="s">
        <v>75</v>
      </c>
      <c r="K1055" s="2" t="s">
        <v>39</v>
      </c>
      <c r="L1055">
        <v>1</v>
      </c>
      <c r="M1055">
        <v>1385.98</v>
      </c>
      <c r="N1055">
        <v>1385.98</v>
      </c>
      <c r="O1055" t="s">
        <v>36</v>
      </c>
      <c r="P1055" s="2" t="s">
        <v>43</v>
      </c>
      <c r="Q1055" s="2" t="s">
        <v>24</v>
      </c>
    </row>
    <row r="1056" spans="1:17" hidden="1" x14ac:dyDescent="0.3">
      <c r="A1056">
        <v>202400795</v>
      </c>
      <c r="B1056" s="1">
        <v>45654</v>
      </c>
      <c r="C1056">
        <v>2024</v>
      </c>
      <c r="D1056">
        <v>4</v>
      </c>
      <c r="E1056">
        <v>12</v>
      </c>
      <c r="F1056">
        <v>63</v>
      </c>
      <c r="G1056" s="2" t="s">
        <v>64</v>
      </c>
      <c r="H1056" s="2" t="s">
        <v>69</v>
      </c>
      <c r="I1056" s="2" t="s">
        <v>65</v>
      </c>
      <c r="J1056" s="2" t="s">
        <v>34</v>
      </c>
      <c r="K1056" s="2" t="s">
        <v>47</v>
      </c>
      <c r="L1056">
        <v>14</v>
      </c>
      <c r="M1056">
        <v>1251.17</v>
      </c>
      <c r="N1056">
        <v>17516.38</v>
      </c>
      <c r="O1056" t="s">
        <v>22</v>
      </c>
      <c r="P1056" s="2" t="s">
        <v>23</v>
      </c>
      <c r="Q1056" s="2" t="s">
        <v>40</v>
      </c>
    </row>
    <row r="1057" spans="1:17" hidden="1" x14ac:dyDescent="0.3">
      <c r="A1057">
        <v>202400871</v>
      </c>
      <c r="B1057" s="1">
        <v>45537</v>
      </c>
      <c r="C1057">
        <v>2024</v>
      </c>
      <c r="D1057">
        <v>3</v>
      </c>
      <c r="E1057">
        <v>9</v>
      </c>
      <c r="F1057">
        <v>65</v>
      </c>
      <c r="G1057" s="2" t="s">
        <v>112</v>
      </c>
      <c r="H1057" s="2" t="s">
        <v>69</v>
      </c>
      <c r="I1057" s="2" t="s">
        <v>19</v>
      </c>
      <c r="J1057" s="2" t="s">
        <v>20</v>
      </c>
      <c r="K1057" s="2" t="s">
        <v>97</v>
      </c>
      <c r="L1057">
        <v>1</v>
      </c>
      <c r="M1057">
        <v>1169.45</v>
      </c>
      <c r="N1057">
        <v>1169.45</v>
      </c>
      <c r="O1057" t="s">
        <v>36</v>
      </c>
      <c r="P1057" s="2" t="s">
        <v>48</v>
      </c>
      <c r="Q1057" s="2" t="s">
        <v>41</v>
      </c>
    </row>
    <row r="1058" spans="1:17" hidden="1" x14ac:dyDescent="0.3">
      <c r="A1058">
        <v>202400767</v>
      </c>
      <c r="B1058" s="1">
        <v>45461</v>
      </c>
      <c r="C1058">
        <v>2024</v>
      </c>
      <c r="D1058">
        <v>2</v>
      </c>
      <c r="E1058">
        <v>6</v>
      </c>
      <c r="F1058">
        <v>44</v>
      </c>
      <c r="G1058" s="2" t="s">
        <v>129</v>
      </c>
      <c r="H1058" s="2" t="s">
        <v>140</v>
      </c>
      <c r="I1058" s="2" t="s">
        <v>27</v>
      </c>
      <c r="J1058" s="2" t="s">
        <v>20</v>
      </c>
      <c r="K1058" s="2" t="s">
        <v>60</v>
      </c>
      <c r="L1058">
        <v>4</v>
      </c>
      <c r="M1058">
        <v>1301.1199999999999</v>
      </c>
      <c r="N1058">
        <v>5204.4799999999996</v>
      </c>
      <c r="O1058" t="s">
        <v>29</v>
      </c>
      <c r="P1058" s="2" t="s">
        <v>48</v>
      </c>
      <c r="Q1058" s="2" t="s">
        <v>40</v>
      </c>
    </row>
    <row r="1059" spans="1:17" hidden="1" x14ac:dyDescent="0.3">
      <c r="A1059">
        <v>202401111</v>
      </c>
      <c r="B1059" s="1">
        <v>45483</v>
      </c>
      <c r="C1059">
        <v>2024</v>
      </c>
      <c r="D1059">
        <v>3</v>
      </c>
      <c r="E1059">
        <v>7</v>
      </c>
      <c r="F1059">
        <v>15</v>
      </c>
      <c r="G1059" s="2" t="s">
        <v>115</v>
      </c>
      <c r="H1059" s="2" t="s">
        <v>140</v>
      </c>
      <c r="I1059" s="2" t="s">
        <v>19</v>
      </c>
      <c r="J1059" s="2" t="s">
        <v>20</v>
      </c>
      <c r="K1059" s="2" t="s">
        <v>50</v>
      </c>
      <c r="L1059">
        <v>10</v>
      </c>
      <c r="M1059">
        <v>594.64</v>
      </c>
      <c r="N1059">
        <v>5946.4</v>
      </c>
      <c r="O1059" t="s">
        <v>22</v>
      </c>
      <c r="P1059" s="2" t="s">
        <v>43</v>
      </c>
      <c r="Q1059" s="2" t="s">
        <v>24</v>
      </c>
    </row>
    <row r="1060" spans="1:17" hidden="1" x14ac:dyDescent="0.3">
      <c r="A1060">
        <v>202401029</v>
      </c>
      <c r="B1060" s="1">
        <v>45644</v>
      </c>
      <c r="C1060">
        <v>2024</v>
      </c>
      <c r="D1060">
        <v>4</v>
      </c>
      <c r="E1060">
        <v>12</v>
      </c>
      <c r="F1060">
        <v>70</v>
      </c>
      <c r="G1060" s="2" t="s">
        <v>94</v>
      </c>
      <c r="H1060" s="2" t="s">
        <v>18</v>
      </c>
      <c r="I1060" s="2" t="s">
        <v>78</v>
      </c>
      <c r="J1060" s="2" t="s">
        <v>75</v>
      </c>
      <c r="K1060" s="2" t="s">
        <v>42</v>
      </c>
      <c r="L1060">
        <v>13</v>
      </c>
      <c r="M1060">
        <v>404.9</v>
      </c>
      <c r="N1060">
        <v>5263.7</v>
      </c>
      <c r="O1060" t="s">
        <v>22</v>
      </c>
      <c r="P1060" s="2" t="s">
        <v>43</v>
      </c>
      <c r="Q1060" s="2" t="s">
        <v>24</v>
      </c>
    </row>
    <row r="1061" spans="1:17" hidden="1" x14ac:dyDescent="0.3">
      <c r="A1061">
        <v>202400643</v>
      </c>
      <c r="B1061" s="1">
        <v>45527</v>
      </c>
      <c r="C1061">
        <v>2024</v>
      </c>
      <c r="D1061">
        <v>3</v>
      </c>
      <c r="E1061">
        <v>8</v>
      </c>
      <c r="F1061">
        <v>5</v>
      </c>
      <c r="G1061" s="2" t="s">
        <v>121</v>
      </c>
      <c r="H1061" s="2" t="s">
        <v>62</v>
      </c>
      <c r="I1061" s="2" t="s">
        <v>27</v>
      </c>
      <c r="J1061" s="2" t="s">
        <v>20</v>
      </c>
      <c r="K1061" s="2" t="s">
        <v>28</v>
      </c>
      <c r="L1061">
        <v>12</v>
      </c>
      <c r="M1061">
        <v>912.93</v>
      </c>
      <c r="N1061">
        <v>10955.16</v>
      </c>
      <c r="O1061" t="s">
        <v>22</v>
      </c>
      <c r="P1061" s="2" t="s">
        <v>23</v>
      </c>
      <c r="Q1061" s="2" t="s">
        <v>24</v>
      </c>
    </row>
    <row r="1062" spans="1:17" x14ac:dyDescent="0.3">
      <c r="A1062">
        <v>202400613</v>
      </c>
      <c r="B1062" s="1">
        <v>45374</v>
      </c>
      <c r="C1062">
        <v>2024</v>
      </c>
      <c r="D1062">
        <v>1</v>
      </c>
      <c r="E1062">
        <v>3</v>
      </c>
      <c r="F1062">
        <v>76</v>
      </c>
      <c r="G1062" s="2" t="s">
        <v>104</v>
      </c>
      <c r="H1062" s="2" t="s">
        <v>140</v>
      </c>
      <c r="I1062" s="2" t="s">
        <v>33</v>
      </c>
      <c r="J1062" s="2" t="s">
        <v>34</v>
      </c>
      <c r="K1062" s="2" t="s">
        <v>51</v>
      </c>
      <c r="L1062">
        <v>2</v>
      </c>
      <c r="M1062">
        <v>1206.82</v>
      </c>
      <c r="N1062">
        <v>2413.64</v>
      </c>
      <c r="O1062" t="s">
        <v>36</v>
      </c>
      <c r="P1062" s="2" t="s">
        <v>48</v>
      </c>
      <c r="Q1062" s="2" t="s">
        <v>24</v>
      </c>
    </row>
    <row r="1063" spans="1:17" x14ac:dyDescent="0.3">
      <c r="A1063">
        <v>202400961</v>
      </c>
      <c r="B1063" s="1">
        <v>45311</v>
      </c>
      <c r="C1063">
        <v>2024</v>
      </c>
      <c r="D1063">
        <v>1</v>
      </c>
      <c r="E1063">
        <v>1</v>
      </c>
      <c r="F1063">
        <v>14</v>
      </c>
      <c r="G1063" s="2" t="s">
        <v>106</v>
      </c>
      <c r="H1063" s="2" t="s">
        <v>26</v>
      </c>
      <c r="I1063" s="2" t="s">
        <v>54</v>
      </c>
      <c r="J1063" s="2" t="s">
        <v>20</v>
      </c>
      <c r="K1063" s="2" t="s">
        <v>50</v>
      </c>
      <c r="L1063">
        <v>12</v>
      </c>
      <c r="M1063">
        <v>376.89</v>
      </c>
      <c r="N1063">
        <v>4522.68</v>
      </c>
      <c r="O1063" t="s">
        <v>22</v>
      </c>
      <c r="P1063" s="2" t="s">
        <v>43</v>
      </c>
      <c r="Q1063" s="2" t="s">
        <v>24</v>
      </c>
    </row>
    <row r="1064" spans="1:17" hidden="1" x14ac:dyDescent="0.3">
      <c r="A1064">
        <v>202400726</v>
      </c>
      <c r="B1064" s="1">
        <v>45478</v>
      </c>
      <c r="C1064">
        <v>2024</v>
      </c>
      <c r="D1064">
        <v>3</v>
      </c>
      <c r="E1064">
        <v>7</v>
      </c>
      <c r="F1064">
        <v>4</v>
      </c>
      <c r="G1064" s="2" t="s">
        <v>110</v>
      </c>
      <c r="H1064" s="2" t="s">
        <v>69</v>
      </c>
      <c r="I1064" s="2" t="s">
        <v>78</v>
      </c>
      <c r="J1064" s="2" t="s">
        <v>75</v>
      </c>
      <c r="K1064" s="2" t="s">
        <v>60</v>
      </c>
      <c r="L1064">
        <v>13</v>
      </c>
      <c r="M1064">
        <v>714.4</v>
      </c>
      <c r="N1064">
        <v>9287.1999999999989</v>
      </c>
      <c r="O1064" t="s">
        <v>22</v>
      </c>
      <c r="P1064" s="2" t="s">
        <v>30</v>
      </c>
      <c r="Q1064" s="2" t="s">
        <v>41</v>
      </c>
    </row>
    <row r="1065" spans="1:17" hidden="1" x14ac:dyDescent="0.3">
      <c r="A1065">
        <v>202400684</v>
      </c>
      <c r="B1065" s="1">
        <v>45525</v>
      </c>
      <c r="C1065">
        <v>2024</v>
      </c>
      <c r="D1065">
        <v>3</v>
      </c>
      <c r="E1065">
        <v>8</v>
      </c>
      <c r="F1065">
        <v>11</v>
      </c>
      <c r="G1065" s="2" t="s">
        <v>66</v>
      </c>
      <c r="H1065" s="2" t="s">
        <v>18</v>
      </c>
      <c r="I1065" s="2" t="s">
        <v>67</v>
      </c>
      <c r="J1065" s="2" t="s">
        <v>20</v>
      </c>
      <c r="K1065" s="2" t="s">
        <v>52</v>
      </c>
      <c r="L1065">
        <v>9</v>
      </c>
      <c r="M1065">
        <v>738.16</v>
      </c>
      <c r="N1065">
        <v>6643.44</v>
      </c>
      <c r="O1065" t="s">
        <v>29</v>
      </c>
      <c r="P1065" s="2" t="s">
        <v>43</v>
      </c>
      <c r="Q1065" s="2" t="s">
        <v>24</v>
      </c>
    </row>
    <row r="1066" spans="1:17" x14ac:dyDescent="0.3">
      <c r="A1066">
        <v>202400099</v>
      </c>
      <c r="B1066" s="1">
        <v>45335</v>
      </c>
      <c r="C1066">
        <v>2024</v>
      </c>
      <c r="D1066">
        <v>1</v>
      </c>
      <c r="E1066">
        <v>2</v>
      </c>
      <c r="F1066">
        <v>31</v>
      </c>
      <c r="G1066" s="2" t="s">
        <v>127</v>
      </c>
      <c r="H1066" s="2" t="s">
        <v>69</v>
      </c>
      <c r="I1066" s="2" t="s">
        <v>54</v>
      </c>
      <c r="J1066" s="2" t="s">
        <v>20</v>
      </c>
      <c r="K1066" s="2" t="s">
        <v>97</v>
      </c>
      <c r="L1066">
        <v>7</v>
      </c>
      <c r="M1066">
        <v>428.76</v>
      </c>
      <c r="N1066">
        <v>3001.3199999999997</v>
      </c>
      <c r="O1066" t="s">
        <v>29</v>
      </c>
      <c r="P1066" s="2" t="s">
        <v>23</v>
      </c>
      <c r="Q1066" s="2" t="s">
        <v>41</v>
      </c>
    </row>
    <row r="1067" spans="1:17" x14ac:dyDescent="0.3">
      <c r="A1067">
        <v>202400805</v>
      </c>
      <c r="B1067" s="1">
        <v>45339</v>
      </c>
      <c r="C1067">
        <v>2024</v>
      </c>
      <c r="D1067">
        <v>1</v>
      </c>
      <c r="E1067">
        <v>2</v>
      </c>
      <c r="F1067">
        <v>17</v>
      </c>
      <c r="G1067" s="2" t="s">
        <v>77</v>
      </c>
      <c r="H1067" s="2" t="s">
        <v>69</v>
      </c>
      <c r="I1067" s="2" t="s">
        <v>78</v>
      </c>
      <c r="J1067" s="2" t="s">
        <v>75</v>
      </c>
      <c r="K1067" s="2" t="s">
        <v>97</v>
      </c>
      <c r="L1067">
        <v>7</v>
      </c>
      <c r="M1067">
        <v>808.67</v>
      </c>
      <c r="N1067">
        <v>5660.69</v>
      </c>
      <c r="O1067" t="s">
        <v>29</v>
      </c>
      <c r="P1067" s="2" t="s">
        <v>43</v>
      </c>
      <c r="Q1067" s="2" t="s">
        <v>24</v>
      </c>
    </row>
    <row r="1068" spans="1:17" hidden="1" x14ac:dyDescent="0.3">
      <c r="A1068">
        <v>202400407</v>
      </c>
      <c r="B1068" s="1">
        <v>45592</v>
      </c>
      <c r="C1068">
        <v>2024</v>
      </c>
      <c r="D1068">
        <v>4</v>
      </c>
      <c r="E1068">
        <v>10</v>
      </c>
      <c r="F1068">
        <v>30</v>
      </c>
      <c r="G1068" s="2" t="s">
        <v>91</v>
      </c>
      <c r="H1068" s="2" t="s">
        <v>69</v>
      </c>
      <c r="I1068" s="2" t="s">
        <v>65</v>
      </c>
      <c r="J1068" s="2" t="s">
        <v>34</v>
      </c>
      <c r="K1068" s="2" t="s">
        <v>35</v>
      </c>
      <c r="L1068">
        <v>7</v>
      </c>
      <c r="M1068">
        <v>1289.8599999999999</v>
      </c>
      <c r="N1068">
        <v>9029.0199999999986</v>
      </c>
      <c r="O1068" t="s">
        <v>29</v>
      </c>
      <c r="P1068" s="2" t="s">
        <v>48</v>
      </c>
      <c r="Q1068" s="2" t="s">
        <v>24</v>
      </c>
    </row>
    <row r="1069" spans="1:17" hidden="1" x14ac:dyDescent="0.3">
      <c r="A1069">
        <v>202400503</v>
      </c>
      <c r="B1069" s="1">
        <v>45438</v>
      </c>
      <c r="C1069">
        <v>2024</v>
      </c>
      <c r="D1069">
        <v>2</v>
      </c>
      <c r="E1069">
        <v>5</v>
      </c>
      <c r="F1069">
        <v>9</v>
      </c>
      <c r="G1069" s="2" t="s">
        <v>44</v>
      </c>
      <c r="H1069" s="2" t="s">
        <v>62</v>
      </c>
      <c r="I1069" s="2" t="s">
        <v>78</v>
      </c>
      <c r="J1069" s="2" t="s">
        <v>75</v>
      </c>
      <c r="K1069" s="2" t="s">
        <v>59</v>
      </c>
      <c r="L1069">
        <v>13</v>
      </c>
      <c r="M1069">
        <v>1189.32</v>
      </c>
      <c r="N1069">
        <v>15461.16</v>
      </c>
      <c r="O1069" t="s">
        <v>22</v>
      </c>
      <c r="P1069" s="2" t="s">
        <v>30</v>
      </c>
      <c r="Q1069" s="2" t="s">
        <v>24</v>
      </c>
    </row>
    <row r="1070" spans="1:17" hidden="1" x14ac:dyDescent="0.3">
      <c r="A1070">
        <v>202401072</v>
      </c>
      <c r="B1070" s="1">
        <v>45492</v>
      </c>
      <c r="C1070">
        <v>2024</v>
      </c>
      <c r="D1070">
        <v>3</v>
      </c>
      <c r="E1070">
        <v>7</v>
      </c>
      <c r="F1070">
        <v>59</v>
      </c>
      <c r="G1070" s="2" t="s">
        <v>73</v>
      </c>
      <c r="H1070" s="2" t="s">
        <v>62</v>
      </c>
      <c r="I1070" s="2" t="s">
        <v>74</v>
      </c>
      <c r="J1070" s="2" t="s">
        <v>75</v>
      </c>
      <c r="K1070" s="2" t="s">
        <v>42</v>
      </c>
      <c r="L1070">
        <v>6</v>
      </c>
      <c r="M1070">
        <v>1155.29</v>
      </c>
      <c r="N1070">
        <v>6931.74</v>
      </c>
      <c r="O1070" t="s">
        <v>29</v>
      </c>
      <c r="P1070" s="2" t="s">
        <v>43</v>
      </c>
      <c r="Q1070" s="2" t="s">
        <v>41</v>
      </c>
    </row>
    <row r="1071" spans="1:17" x14ac:dyDescent="0.3">
      <c r="A1071">
        <v>202401057</v>
      </c>
      <c r="B1071" s="1">
        <v>45375</v>
      </c>
      <c r="C1071">
        <v>2024</v>
      </c>
      <c r="D1071">
        <v>1</v>
      </c>
      <c r="E1071">
        <v>3</v>
      </c>
      <c r="F1071">
        <v>41</v>
      </c>
      <c r="G1071" s="2" t="s">
        <v>99</v>
      </c>
      <c r="H1071" s="2" t="s">
        <v>18</v>
      </c>
      <c r="I1071" s="2" t="s">
        <v>78</v>
      </c>
      <c r="J1071" s="2" t="s">
        <v>75</v>
      </c>
      <c r="K1071" s="2" t="s">
        <v>42</v>
      </c>
      <c r="L1071">
        <v>12</v>
      </c>
      <c r="M1071">
        <v>1586.87</v>
      </c>
      <c r="N1071">
        <v>19042.439999999999</v>
      </c>
      <c r="O1071" t="s">
        <v>22</v>
      </c>
      <c r="P1071" s="2" t="s">
        <v>48</v>
      </c>
      <c r="Q1071" s="2" t="s">
        <v>31</v>
      </c>
    </row>
    <row r="1072" spans="1:17" hidden="1" x14ac:dyDescent="0.3">
      <c r="A1072">
        <v>202400930</v>
      </c>
      <c r="B1072" s="1">
        <v>45606</v>
      </c>
      <c r="C1072">
        <v>2024</v>
      </c>
      <c r="D1072">
        <v>4</v>
      </c>
      <c r="E1072">
        <v>11</v>
      </c>
      <c r="F1072">
        <v>74</v>
      </c>
      <c r="G1072" s="2" t="s">
        <v>102</v>
      </c>
      <c r="H1072" s="2" t="s">
        <v>140</v>
      </c>
      <c r="I1072" s="2" t="s">
        <v>27</v>
      </c>
      <c r="J1072" s="2" t="s">
        <v>20</v>
      </c>
      <c r="K1072" s="2" t="s">
        <v>21</v>
      </c>
      <c r="L1072">
        <v>9</v>
      </c>
      <c r="M1072">
        <v>880.1</v>
      </c>
      <c r="N1072">
        <v>7920.9000000000005</v>
      </c>
      <c r="O1072" t="s">
        <v>29</v>
      </c>
      <c r="P1072" s="2" t="s">
        <v>23</v>
      </c>
      <c r="Q1072" s="2" t="s">
        <v>24</v>
      </c>
    </row>
    <row r="1073" spans="1:17" hidden="1" x14ac:dyDescent="0.3">
      <c r="A1073">
        <v>202400780</v>
      </c>
      <c r="B1073" s="1">
        <v>45471</v>
      </c>
      <c r="C1073">
        <v>2024</v>
      </c>
      <c r="D1073">
        <v>2</v>
      </c>
      <c r="E1073">
        <v>6</v>
      </c>
      <c r="F1073">
        <v>61</v>
      </c>
      <c r="G1073" s="2" t="s">
        <v>90</v>
      </c>
      <c r="H1073" s="2" t="s">
        <v>69</v>
      </c>
      <c r="I1073" s="2" t="s">
        <v>65</v>
      </c>
      <c r="J1073" s="2" t="s">
        <v>34</v>
      </c>
      <c r="K1073" s="2" t="s">
        <v>97</v>
      </c>
      <c r="L1073">
        <v>2</v>
      </c>
      <c r="M1073">
        <v>1483.1</v>
      </c>
      <c r="N1073">
        <v>2966.2</v>
      </c>
      <c r="O1073" t="s">
        <v>36</v>
      </c>
      <c r="P1073" s="2" t="s">
        <v>43</v>
      </c>
      <c r="Q1073" s="2" t="s">
        <v>24</v>
      </c>
    </row>
    <row r="1074" spans="1:17" x14ac:dyDescent="0.3">
      <c r="A1074">
        <v>202400201</v>
      </c>
      <c r="B1074" s="1">
        <v>45313</v>
      </c>
      <c r="C1074">
        <v>2024</v>
      </c>
      <c r="D1074">
        <v>1</v>
      </c>
      <c r="E1074">
        <v>1</v>
      </c>
      <c r="F1074">
        <v>77</v>
      </c>
      <c r="G1074" s="2" t="s">
        <v>109</v>
      </c>
      <c r="H1074" s="2" t="s">
        <v>140</v>
      </c>
      <c r="I1074" s="2" t="s">
        <v>74</v>
      </c>
      <c r="J1074" s="2" t="s">
        <v>75</v>
      </c>
      <c r="K1074" s="2" t="s">
        <v>50</v>
      </c>
      <c r="L1074">
        <v>6</v>
      </c>
      <c r="M1074">
        <v>954.11</v>
      </c>
      <c r="N1074">
        <v>5724.66</v>
      </c>
      <c r="O1074" t="s">
        <v>29</v>
      </c>
      <c r="P1074" s="2" t="s">
        <v>43</v>
      </c>
      <c r="Q1074" s="2" t="s">
        <v>40</v>
      </c>
    </row>
    <row r="1075" spans="1:17" hidden="1" x14ac:dyDescent="0.3">
      <c r="A1075">
        <v>202400135</v>
      </c>
      <c r="B1075" s="1">
        <v>45528</v>
      </c>
      <c r="C1075">
        <v>2024</v>
      </c>
      <c r="D1075">
        <v>3</v>
      </c>
      <c r="E1075">
        <v>8</v>
      </c>
      <c r="F1075">
        <v>74</v>
      </c>
      <c r="G1075" s="2" t="s">
        <v>102</v>
      </c>
      <c r="H1075" s="2" t="s">
        <v>140</v>
      </c>
      <c r="I1075" s="2" t="s">
        <v>27</v>
      </c>
      <c r="J1075" s="2" t="s">
        <v>20</v>
      </c>
      <c r="K1075" s="2" t="s">
        <v>58</v>
      </c>
      <c r="L1075">
        <v>7</v>
      </c>
      <c r="M1075">
        <v>100.34</v>
      </c>
      <c r="N1075">
        <v>702.38</v>
      </c>
      <c r="O1075" t="s">
        <v>29</v>
      </c>
      <c r="P1075" s="2" t="s">
        <v>43</v>
      </c>
      <c r="Q1075" s="2" t="s">
        <v>49</v>
      </c>
    </row>
    <row r="1076" spans="1:17" hidden="1" x14ac:dyDescent="0.3">
      <c r="A1076">
        <v>202401052</v>
      </c>
      <c r="B1076" s="1">
        <v>45441</v>
      </c>
      <c r="C1076">
        <v>2024</v>
      </c>
      <c r="D1076">
        <v>2</v>
      </c>
      <c r="E1076">
        <v>5</v>
      </c>
      <c r="F1076">
        <v>6</v>
      </c>
      <c r="G1076" s="2" t="s">
        <v>55</v>
      </c>
      <c r="H1076" s="2" t="s">
        <v>26</v>
      </c>
      <c r="I1076" s="2" t="s">
        <v>56</v>
      </c>
      <c r="J1076" s="2" t="s">
        <v>57</v>
      </c>
      <c r="K1076" s="2" t="s">
        <v>71</v>
      </c>
      <c r="L1076">
        <v>3</v>
      </c>
      <c r="M1076">
        <v>1398.02</v>
      </c>
      <c r="N1076">
        <v>4194.0599999999995</v>
      </c>
      <c r="O1076" t="s">
        <v>29</v>
      </c>
      <c r="P1076" s="2" t="s">
        <v>48</v>
      </c>
      <c r="Q1076" s="2" t="s">
        <v>24</v>
      </c>
    </row>
    <row r="1077" spans="1:17" x14ac:dyDescent="0.3">
      <c r="A1077">
        <v>202400041</v>
      </c>
      <c r="B1077" s="1">
        <v>45381</v>
      </c>
      <c r="C1077">
        <v>2024</v>
      </c>
      <c r="D1077">
        <v>1</v>
      </c>
      <c r="E1077">
        <v>3</v>
      </c>
      <c r="F1077">
        <v>26</v>
      </c>
      <c r="G1077" s="2" t="s">
        <v>89</v>
      </c>
      <c r="H1077" s="2" t="s">
        <v>62</v>
      </c>
      <c r="I1077" s="2" t="s">
        <v>67</v>
      </c>
      <c r="J1077" s="2" t="s">
        <v>20</v>
      </c>
      <c r="K1077" s="2" t="s">
        <v>47</v>
      </c>
      <c r="L1077">
        <v>12</v>
      </c>
      <c r="M1077">
        <v>815.14</v>
      </c>
      <c r="N1077">
        <v>9781.68</v>
      </c>
      <c r="O1077" t="s">
        <v>22</v>
      </c>
      <c r="P1077" s="2" t="s">
        <v>43</v>
      </c>
      <c r="Q1077" s="2" t="s">
        <v>40</v>
      </c>
    </row>
    <row r="1078" spans="1:17" hidden="1" x14ac:dyDescent="0.3">
      <c r="A1078">
        <v>202401018</v>
      </c>
      <c r="B1078" s="1">
        <v>45537</v>
      </c>
      <c r="C1078">
        <v>2024</v>
      </c>
      <c r="D1078">
        <v>3</v>
      </c>
      <c r="E1078">
        <v>9</v>
      </c>
      <c r="F1078">
        <v>79</v>
      </c>
      <c r="G1078" s="2" t="s">
        <v>108</v>
      </c>
      <c r="H1078" s="2" t="s">
        <v>69</v>
      </c>
      <c r="I1078" s="2" t="s">
        <v>85</v>
      </c>
      <c r="J1078" s="2" t="s">
        <v>57</v>
      </c>
      <c r="K1078" s="2" t="s">
        <v>70</v>
      </c>
      <c r="L1078">
        <v>4</v>
      </c>
      <c r="M1078">
        <v>1096.02</v>
      </c>
      <c r="N1078">
        <v>4384.08</v>
      </c>
      <c r="O1078" t="s">
        <v>29</v>
      </c>
      <c r="P1078" s="2" t="s">
        <v>30</v>
      </c>
      <c r="Q1078" s="2" t="s">
        <v>31</v>
      </c>
    </row>
    <row r="1079" spans="1:17" hidden="1" x14ac:dyDescent="0.3">
      <c r="A1079">
        <v>202400231</v>
      </c>
      <c r="B1079" s="1">
        <v>45588</v>
      </c>
      <c r="C1079">
        <v>2024</v>
      </c>
      <c r="D1079">
        <v>4</v>
      </c>
      <c r="E1079">
        <v>10</v>
      </c>
      <c r="F1079">
        <v>23</v>
      </c>
      <c r="G1079" s="2" t="s">
        <v>86</v>
      </c>
      <c r="H1079" s="2" t="s">
        <v>26</v>
      </c>
      <c r="I1079" s="2" t="s">
        <v>33</v>
      </c>
      <c r="J1079" s="2" t="s">
        <v>34</v>
      </c>
      <c r="K1079" s="2" t="s">
        <v>28</v>
      </c>
      <c r="L1079">
        <v>3</v>
      </c>
      <c r="M1079">
        <v>1762.93</v>
      </c>
      <c r="N1079">
        <v>5288.79</v>
      </c>
      <c r="O1079" t="s">
        <v>29</v>
      </c>
      <c r="P1079" s="2" t="s">
        <v>30</v>
      </c>
      <c r="Q1079" s="2" t="s">
        <v>24</v>
      </c>
    </row>
    <row r="1080" spans="1:17" hidden="1" x14ac:dyDescent="0.3">
      <c r="A1080">
        <v>202400379</v>
      </c>
      <c r="B1080" s="1">
        <v>45529</v>
      </c>
      <c r="C1080">
        <v>2024</v>
      </c>
      <c r="D1080">
        <v>3</v>
      </c>
      <c r="E1080">
        <v>8</v>
      </c>
      <c r="F1080">
        <v>77</v>
      </c>
      <c r="G1080" s="2" t="s">
        <v>109</v>
      </c>
      <c r="H1080" s="2" t="s">
        <v>140</v>
      </c>
      <c r="I1080" s="2" t="s">
        <v>74</v>
      </c>
      <c r="J1080" s="2" t="s">
        <v>75</v>
      </c>
      <c r="K1080" s="2" t="s">
        <v>35</v>
      </c>
      <c r="L1080">
        <v>13</v>
      </c>
      <c r="M1080">
        <v>1560.87</v>
      </c>
      <c r="N1080">
        <v>20291.309999999998</v>
      </c>
      <c r="O1080" t="s">
        <v>22</v>
      </c>
      <c r="P1080" s="2" t="s">
        <v>30</v>
      </c>
      <c r="Q1080" s="2" t="s">
        <v>45</v>
      </c>
    </row>
    <row r="1081" spans="1:17" hidden="1" x14ac:dyDescent="0.3">
      <c r="A1081">
        <v>202400289</v>
      </c>
      <c r="B1081" s="1">
        <v>45412</v>
      </c>
      <c r="C1081">
        <v>2024</v>
      </c>
      <c r="D1081">
        <v>2</v>
      </c>
      <c r="E1081">
        <v>4</v>
      </c>
      <c r="F1081">
        <v>2</v>
      </c>
      <c r="G1081" s="2" t="s">
        <v>32</v>
      </c>
      <c r="H1081" s="2" t="s">
        <v>140</v>
      </c>
      <c r="I1081" s="2" t="s">
        <v>33</v>
      </c>
      <c r="J1081" s="2" t="s">
        <v>34</v>
      </c>
      <c r="K1081" s="2" t="s">
        <v>21</v>
      </c>
      <c r="L1081">
        <v>10</v>
      </c>
      <c r="M1081">
        <v>1163.42</v>
      </c>
      <c r="N1081">
        <v>11634.2</v>
      </c>
      <c r="O1081" t="s">
        <v>22</v>
      </c>
      <c r="P1081" s="2" t="s">
        <v>43</v>
      </c>
      <c r="Q1081" s="2" t="s">
        <v>24</v>
      </c>
    </row>
    <row r="1082" spans="1:17" hidden="1" x14ac:dyDescent="0.3">
      <c r="A1082">
        <v>202400419</v>
      </c>
      <c r="B1082" s="1">
        <v>45530</v>
      </c>
      <c r="C1082">
        <v>2024</v>
      </c>
      <c r="D1082">
        <v>3</v>
      </c>
      <c r="E1082">
        <v>8</v>
      </c>
      <c r="F1082">
        <v>57</v>
      </c>
      <c r="G1082" s="2" t="s">
        <v>53</v>
      </c>
      <c r="H1082" s="2" t="s">
        <v>18</v>
      </c>
      <c r="I1082" s="2" t="s">
        <v>54</v>
      </c>
      <c r="J1082" s="2" t="s">
        <v>20</v>
      </c>
      <c r="K1082" s="2" t="s">
        <v>39</v>
      </c>
      <c r="L1082">
        <v>7</v>
      </c>
      <c r="M1082">
        <v>1587.88</v>
      </c>
      <c r="N1082">
        <v>11115.16</v>
      </c>
      <c r="O1082" t="s">
        <v>29</v>
      </c>
      <c r="P1082" s="2" t="s">
        <v>43</v>
      </c>
      <c r="Q1082" s="2" t="s">
        <v>31</v>
      </c>
    </row>
    <row r="1083" spans="1:17" hidden="1" x14ac:dyDescent="0.3">
      <c r="A1083">
        <v>202400392</v>
      </c>
      <c r="B1083" s="1">
        <v>45612</v>
      </c>
      <c r="C1083">
        <v>2024</v>
      </c>
      <c r="D1083">
        <v>4</v>
      </c>
      <c r="E1083">
        <v>11</v>
      </c>
      <c r="F1083">
        <v>31</v>
      </c>
      <c r="G1083" s="2" t="s">
        <v>127</v>
      </c>
      <c r="H1083" s="2" t="s">
        <v>69</v>
      </c>
      <c r="I1083" s="2" t="s">
        <v>54</v>
      </c>
      <c r="J1083" s="2" t="s">
        <v>20</v>
      </c>
      <c r="K1083" s="2" t="s">
        <v>71</v>
      </c>
      <c r="L1083">
        <v>10</v>
      </c>
      <c r="M1083">
        <v>377.29</v>
      </c>
      <c r="N1083">
        <v>3772.9</v>
      </c>
      <c r="O1083" t="s">
        <v>22</v>
      </c>
      <c r="P1083" s="2" t="s">
        <v>30</v>
      </c>
      <c r="Q1083" s="2" t="s">
        <v>31</v>
      </c>
    </row>
    <row r="1084" spans="1:17" hidden="1" x14ac:dyDescent="0.3">
      <c r="A1084">
        <v>202400593</v>
      </c>
      <c r="B1084" s="1">
        <v>45513</v>
      </c>
      <c r="C1084">
        <v>2024</v>
      </c>
      <c r="D1084">
        <v>3</v>
      </c>
      <c r="E1084">
        <v>8</v>
      </c>
      <c r="F1084">
        <v>20</v>
      </c>
      <c r="G1084" s="2" t="s">
        <v>81</v>
      </c>
      <c r="H1084" s="2" t="s">
        <v>69</v>
      </c>
      <c r="I1084" s="2" t="s">
        <v>56</v>
      </c>
      <c r="J1084" s="2" t="s">
        <v>57</v>
      </c>
      <c r="K1084" s="2" t="s">
        <v>42</v>
      </c>
      <c r="L1084">
        <v>4</v>
      </c>
      <c r="M1084">
        <v>1027.8699999999999</v>
      </c>
      <c r="N1084">
        <v>4111.4799999999996</v>
      </c>
      <c r="O1084" t="s">
        <v>29</v>
      </c>
      <c r="P1084" s="2" t="s">
        <v>48</v>
      </c>
      <c r="Q1084" s="2" t="s">
        <v>24</v>
      </c>
    </row>
    <row r="1085" spans="1:17" hidden="1" x14ac:dyDescent="0.3">
      <c r="A1085">
        <v>202401087</v>
      </c>
      <c r="B1085" s="1">
        <v>45531</v>
      </c>
      <c r="C1085">
        <v>2024</v>
      </c>
      <c r="D1085">
        <v>3</v>
      </c>
      <c r="E1085">
        <v>8</v>
      </c>
      <c r="F1085">
        <v>18</v>
      </c>
      <c r="G1085" s="2" t="s">
        <v>116</v>
      </c>
      <c r="H1085" s="2" t="s">
        <v>62</v>
      </c>
      <c r="I1085" s="2" t="s">
        <v>54</v>
      </c>
      <c r="J1085" s="2" t="s">
        <v>20</v>
      </c>
      <c r="K1085" s="2" t="s">
        <v>50</v>
      </c>
      <c r="L1085">
        <v>7</v>
      </c>
      <c r="M1085">
        <v>880.38</v>
      </c>
      <c r="N1085">
        <v>6162.66</v>
      </c>
      <c r="O1085" t="s">
        <v>29</v>
      </c>
      <c r="P1085" s="2" t="s">
        <v>30</v>
      </c>
      <c r="Q1085" s="2" t="s">
        <v>24</v>
      </c>
    </row>
    <row r="1086" spans="1:17" hidden="1" x14ac:dyDescent="0.3">
      <c r="A1086">
        <v>202400648</v>
      </c>
      <c r="B1086" s="1">
        <v>45562</v>
      </c>
      <c r="C1086">
        <v>2024</v>
      </c>
      <c r="D1086">
        <v>3</v>
      </c>
      <c r="E1086">
        <v>9</v>
      </c>
      <c r="F1086">
        <v>32</v>
      </c>
      <c r="G1086" s="2" t="s">
        <v>93</v>
      </c>
      <c r="H1086" s="2" t="s">
        <v>26</v>
      </c>
      <c r="I1086" s="2" t="s">
        <v>65</v>
      </c>
      <c r="J1086" s="2" t="s">
        <v>34</v>
      </c>
      <c r="K1086" s="2" t="s">
        <v>51</v>
      </c>
      <c r="L1086">
        <v>9</v>
      </c>
      <c r="M1086">
        <v>1804.77</v>
      </c>
      <c r="N1086">
        <v>16242.93</v>
      </c>
      <c r="O1086" t="s">
        <v>29</v>
      </c>
      <c r="P1086" s="2" t="s">
        <v>23</v>
      </c>
      <c r="Q1086" s="2" t="s">
        <v>31</v>
      </c>
    </row>
    <row r="1087" spans="1:17" hidden="1" x14ac:dyDescent="0.3">
      <c r="A1087">
        <v>202400521</v>
      </c>
      <c r="B1087" s="1">
        <v>45522</v>
      </c>
      <c r="C1087">
        <v>2024</v>
      </c>
      <c r="D1087">
        <v>3</v>
      </c>
      <c r="E1087">
        <v>8</v>
      </c>
      <c r="F1087">
        <v>8</v>
      </c>
      <c r="G1087" s="2" t="s">
        <v>63</v>
      </c>
      <c r="H1087" s="2" t="s">
        <v>26</v>
      </c>
      <c r="I1087" s="2" t="s">
        <v>54</v>
      </c>
      <c r="J1087" s="2" t="s">
        <v>20</v>
      </c>
      <c r="K1087" s="2" t="s">
        <v>51</v>
      </c>
      <c r="L1087">
        <v>4</v>
      </c>
      <c r="M1087">
        <v>1279.6099999999999</v>
      </c>
      <c r="N1087">
        <v>5118.4399999999996</v>
      </c>
      <c r="O1087" t="s">
        <v>29</v>
      </c>
      <c r="P1087" s="2" t="s">
        <v>23</v>
      </c>
      <c r="Q1087" s="2" t="s">
        <v>24</v>
      </c>
    </row>
    <row r="1088" spans="1:17" hidden="1" x14ac:dyDescent="0.3">
      <c r="A1088">
        <v>202400065</v>
      </c>
      <c r="B1088" s="1">
        <v>45493</v>
      </c>
      <c r="C1088">
        <v>2024</v>
      </c>
      <c r="D1088">
        <v>3</v>
      </c>
      <c r="E1088">
        <v>7</v>
      </c>
      <c r="F1088">
        <v>43</v>
      </c>
      <c r="G1088" s="2" t="s">
        <v>100</v>
      </c>
      <c r="H1088" s="2" t="s">
        <v>69</v>
      </c>
      <c r="I1088" s="2" t="s">
        <v>54</v>
      </c>
      <c r="J1088" s="2" t="s">
        <v>20</v>
      </c>
      <c r="K1088" s="2" t="s">
        <v>52</v>
      </c>
      <c r="L1088">
        <v>7</v>
      </c>
      <c r="M1088">
        <v>1422.72</v>
      </c>
      <c r="N1088">
        <v>9959.0400000000009</v>
      </c>
      <c r="O1088" t="s">
        <v>29</v>
      </c>
      <c r="P1088" s="2" t="s">
        <v>43</v>
      </c>
      <c r="Q1088" s="2" t="s">
        <v>31</v>
      </c>
    </row>
    <row r="1089" spans="1:17" hidden="1" x14ac:dyDescent="0.3">
      <c r="A1089">
        <v>202400015</v>
      </c>
      <c r="B1089" s="1">
        <v>45442</v>
      </c>
      <c r="C1089">
        <v>2024</v>
      </c>
      <c r="D1089">
        <v>2</v>
      </c>
      <c r="E1089">
        <v>5</v>
      </c>
      <c r="F1089">
        <v>6</v>
      </c>
      <c r="G1089" s="2" t="s">
        <v>55</v>
      </c>
      <c r="H1089" s="2" t="s">
        <v>26</v>
      </c>
      <c r="I1089" s="2" t="s">
        <v>56</v>
      </c>
      <c r="J1089" s="2" t="s">
        <v>57</v>
      </c>
      <c r="K1089" s="2" t="s">
        <v>60</v>
      </c>
      <c r="L1089">
        <v>3</v>
      </c>
      <c r="M1089">
        <v>1508.27</v>
      </c>
      <c r="N1089">
        <v>4524.8099999999995</v>
      </c>
      <c r="O1089" t="s">
        <v>29</v>
      </c>
      <c r="P1089" s="2" t="s">
        <v>43</v>
      </c>
      <c r="Q1089" s="2" t="s">
        <v>24</v>
      </c>
    </row>
    <row r="1090" spans="1:17" hidden="1" x14ac:dyDescent="0.3">
      <c r="A1090">
        <v>202401065</v>
      </c>
      <c r="B1090" s="1">
        <v>45480</v>
      </c>
      <c r="C1090">
        <v>2024</v>
      </c>
      <c r="D1090">
        <v>3</v>
      </c>
      <c r="E1090">
        <v>7</v>
      </c>
      <c r="F1090">
        <v>4</v>
      </c>
      <c r="G1090" s="2" t="s">
        <v>110</v>
      </c>
      <c r="H1090" s="2" t="s">
        <v>69</v>
      </c>
      <c r="I1090" s="2" t="s">
        <v>78</v>
      </c>
      <c r="J1090" s="2" t="s">
        <v>75</v>
      </c>
      <c r="K1090" s="2" t="s">
        <v>21</v>
      </c>
      <c r="L1090">
        <v>3</v>
      </c>
      <c r="M1090">
        <v>439.64</v>
      </c>
      <c r="N1090">
        <v>1318.92</v>
      </c>
      <c r="O1090" t="s">
        <v>29</v>
      </c>
      <c r="P1090" s="2" t="s">
        <v>43</v>
      </c>
      <c r="Q1090" s="2" t="s">
        <v>31</v>
      </c>
    </row>
    <row r="1091" spans="1:17" x14ac:dyDescent="0.3">
      <c r="A1091">
        <v>202400493</v>
      </c>
      <c r="B1091" s="1">
        <v>45358</v>
      </c>
      <c r="C1091">
        <v>2024</v>
      </c>
      <c r="D1091">
        <v>1</v>
      </c>
      <c r="E1091">
        <v>3</v>
      </c>
      <c r="F1091">
        <v>56</v>
      </c>
      <c r="G1091" s="2" t="s">
        <v>130</v>
      </c>
      <c r="H1091" s="2" t="s">
        <v>26</v>
      </c>
      <c r="I1091" s="2" t="s">
        <v>56</v>
      </c>
      <c r="J1091" s="2" t="s">
        <v>57</v>
      </c>
      <c r="K1091" s="2" t="s">
        <v>71</v>
      </c>
      <c r="L1091">
        <v>9</v>
      </c>
      <c r="M1091">
        <v>793.52</v>
      </c>
      <c r="N1091">
        <v>7141.68</v>
      </c>
      <c r="O1091" t="s">
        <v>29</v>
      </c>
      <c r="P1091" s="2" t="s">
        <v>30</v>
      </c>
      <c r="Q1091" s="2" t="s">
        <v>24</v>
      </c>
    </row>
    <row r="1092" spans="1:17" x14ac:dyDescent="0.3">
      <c r="A1092">
        <v>202400380</v>
      </c>
      <c r="B1092" s="1">
        <v>45381</v>
      </c>
      <c r="C1092">
        <v>2024</v>
      </c>
      <c r="D1092">
        <v>1</v>
      </c>
      <c r="E1092">
        <v>3</v>
      </c>
      <c r="F1092">
        <v>1</v>
      </c>
      <c r="G1092" s="2" t="s">
        <v>17</v>
      </c>
      <c r="H1092" s="2" t="s">
        <v>26</v>
      </c>
      <c r="I1092" s="2" t="s">
        <v>78</v>
      </c>
      <c r="J1092" s="2" t="s">
        <v>75</v>
      </c>
      <c r="K1092" s="2" t="s">
        <v>59</v>
      </c>
      <c r="L1092">
        <v>5</v>
      </c>
      <c r="M1092">
        <v>1607.79</v>
      </c>
      <c r="N1092">
        <v>8038.95</v>
      </c>
      <c r="O1092" t="s">
        <v>29</v>
      </c>
      <c r="P1092" s="2" t="s">
        <v>30</v>
      </c>
      <c r="Q1092" s="2" t="s">
        <v>31</v>
      </c>
    </row>
    <row r="1093" spans="1:17" x14ac:dyDescent="0.3">
      <c r="A1093">
        <v>202400188</v>
      </c>
      <c r="B1093" s="1">
        <v>45379</v>
      </c>
      <c r="C1093">
        <v>2024</v>
      </c>
      <c r="D1093">
        <v>1</v>
      </c>
      <c r="E1093">
        <v>3</v>
      </c>
      <c r="F1093">
        <v>46</v>
      </c>
      <c r="G1093" s="2" t="s">
        <v>88</v>
      </c>
      <c r="H1093" s="2" t="s">
        <v>26</v>
      </c>
      <c r="I1093" s="2" t="s">
        <v>85</v>
      </c>
      <c r="J1093" s="2" t="s">
        <v>57</v>
      </c>
      <c r="K1093" s="2" t="s">
        <v>97</v>
      </c>
      <c r="L1093">
        <v>14</v>
      </c>
      <c r="M1093">
        <v>335.19</v>
      </c>
      <c r="N1093">
        <v>4692.66</v>
      </c>
      <c r="O1093" t="s">
        <v>22</v>
      </c>
      <c r="P1093" s="2" t="s">
        <v>30</v>
      </c>
      <c r="Q1093" s="2" t="s">
        <v>24</v>
      </c>
    </row>
    <row r="1094" spans="1:17" hidden="1" x14ac:dyDescent="0.3">
      <c r="A1094">
        <v>202400764</v>
      </c>
      <c r="B1094" s="1">
        <v>45592</v>
      </c>
      <c r="C1094">
        <v>2024</v>
      </c>
      <c r="D1094">
        <v>4</v>
      </c>
      <c r="E1094">
        <v>10</v>
      </c>
      <c r="F1094">
        <v>58</v>
      </c>
      <c r="G1094" s="2" t="s">
        <v>68</v>
      </c>
      <c r="H1094" s="2" t="s">
        <v>69</v>
      </c>
      <c r="I1094" s="2" t="s">
        <v>85</v>
      </c>
      <c r="J1094" s="2" t="s">
        <v>57</v>
      </c>
      <c r="K1094" s="2" t="s">
        <v>47</v>
      </c>
      <c r="L1094">
        <v>9</v>
      </c>
      <c r="M1094">
        <v>1778.2</v>
      </c>
      <c r="N1094">
        <v>16003.800000000001</v>
      </c>
      <c r="O1094" t="s">
        <v>29</v>
      </c>
      <c r="P1094" s="2" t="s">
        <v>30</v>
      </c>
      <c r="Q1094" s="2" t="s">
        <v>24</v>
      </c>
    </row>
    <row r="1095" spans="1:17" hidden="1" x14ac:dyDescent="0.3">
      <c r="A1095">
        <v>202400217</v>
      </c>
      <c r="B1095" s="1">
        <v>45597</v>
      </c>
      <c r="C1095">
        <v>2024</v>
      </c>
      <c r="D1095">
        <v>4</v>
      </c>
      <c r="E1095">
        <v>11</v>
      </c>
      <c r="F1095">
        <v>12</v>
      </c>
      <c r="G1095" s="2" t="s">
        <v>119</v>
      </c>
      <c r="H1095" s="2" t="s">
        <v>26</v>
      </c>
      <c r="I1095" s="2" t="s">
        <v>67</v>
      </c>
      <c r="J1095" s="2" t="s">
        <v>20</v>
      </c>
      <c r="K1095" s="2" t="s">
        <v>51</v>
      </c>
      <c r="L1095">
        <v>4</v>
      </c>
      <c r="M1095">
        <v>542.04</v>
      </c>
      <c r="N1095">
        <v>2168.16</v>
      </c>
      <c r="O1095" t="s">
        <v>29</v>
      </c>
      <c r="P1095" s="2" t="s">
        <v>43</v>
      </c>
      <c r="Q1095" s="2" t="s">
        <v>41</v>
      </c>
    </row>
    <row r="1096" spans="1:17" hidden="1" x14ac:dyDescent="0.3">
      <c r="A1096">
        <v>202400792</v>
      </c>
      <c r="B1096" s="1">
        <v>45428</v>
      </c>
      <c r="C1096">
        <v>2024</v>
      </c>
      <c r="D1096">
        <v>2</v>
      </c>
      <c r="E1096">
        <v>5</v>
      </c>
      <c r="F1096">
        <v>79</v>
      </c>
      <c r="G1096" s="2" t="s">
        <v>108</v>
      </c>
      <c r="H1096" s="2" t="s">
        <v>69</v>
      </c>
      <c r="I1096" s="2" t="s">
        <v>85</v>
      </c>
      <c r="J1096" s="2" t="s">
        <v>57</v>
      </c>
      <c r="K1096" s="2" t="s">
        <v>51</v>
      </c>
      <c r="L1096">
        <v>4</v>
      </c>
      <c r="M1096">
        <v>1469.36</v>
      </c>
      <c r="N1096">
        <v>5877.44</v>
      </c>
      <c r="O1096" t="s">
        <v>29</v>
      </c>
      <c r="P1096" s="2" t="s">
        <v>43</v>
      </c>
      <c r="Q1096" s="2" t="s">
        <v>24</v>
      </c>
    </row>
    <row r="1097" spans="1:17" hidden="1" x14ac:dyDescent="0.3">
      <c r="A1097">
        <v>202401077</v>
      </c>
      <c r="B1097" s="1">
        <v>45463</v>
      </c>
      <c r="C1097">
        <v>2024</v>
      </c>
      <c r="D1097">
        <v>2</v>
      </c>
      <c r="E1097">
        <v>6</v>
      </c>
      <c r="F1097">
        <v>80</v>
      </c>
      <c r="G1097" s="2" t="s">
        <v>76</v>
      </c>
      <c r="H1097" s="2" t="s">
        <v>26</v>
      </c>
      <c r="I1097" s="2" t="s">
        <v>54</v>
      </c>
      <c r="J1097" s="2" t="s">
        <v>20</v>
      </c>
      <c r="K1097" s="2" t="s">
        <v>60</v>
      </c>
      <c r="L1097">
        <v>14</v>
      </c>
      <c r="M1097">
        <v>59.94</v>
      </c>
      <c r="N1097">
        <v>839.16</v>
      </c>
      <c r="O1097" t="s">
        <v>22</v>
      </c>
      <c r="P1097" s="2" t="s">
        <v>43</v>
      </c>
      <c r="Q1097" s="2" t="s">
        <v>24</v>
      </c>
    </row>
    <row r="1098" spans="1:17" hidden="1" x14ac:dyDescent="0.3">
      <c r="A1098">
        <v>202400879</v>
      </c>
      <c r="B1098" s="1">
        <v>45609</v>
      </c>
      <c r="C1098">
        <v>2024</v>
      </c>
      <c r="D1098">
        <v>4</v>
      </c>
      <c r="E1098">
        <v>11</v>
      </c>
      <c r="F1098">
        <v>2</v>
      </c>
      <c r="G1098" s="2" t="s">
        <v>32</v>
      </c>
      <c r="H1098" s="2" t="s">
        <v>140</v>
      </c>
      <c r="I1098" s="2" t="s">
        <v>33</v>
      </c>
      <c r="J1098" s="2" t="s">
        <v>34</v>
      </c>
      <c r="K1098" s="2" t="s">
        <v>71</v>
      </c>
      <c r="L1098">
        <v>4</v>
      </c>
      <c r="M1098">
        <v>1033.6500000000001</v>
      </c>
      <c r="N1098">
        <v>4134.6000000000004</v>
      </c>
      <c r="O1098" t="s">
        <v>29</v>
      </c>
      <c r="P1098" s="2" t="s">
        <v>43</v>
      </c>
      <c r="Q1098" s="2" t="s">
        <v>24</v>
      </c>
    </row>
    <row r="1099" spans="1:17" x14ac:dyDescent="0.3">
      <c r="A1099">
        <v>202400338</v>
      </c>
      <c r="B1099" s="1">
        <v>45344</v>
      </c>
      <c r="C1099">
        <v>2024</v>
      </c>
      <c r="D1099">
        <v>1</v>
      </c>
      <c r="E1099">
        <v>2</v>
      </c>
      <c r="F1099">
        <v>10</v>
      </c>
      <c r="G1099" s="2" t="s">
        <v>17</v>
      </c>
      <c r="H1099" s="2" t="s">
        <v>18</v>
      </c>
      <c r="I1099" s="2" t="s">
        <v>19</v>
      </c>
      <c r="J1099" s="2" t="s">
        <v>20</v>
      </c>
      <c r="K1099" s="2" t="s">
        <v>50</v>
      </c>
      <c r="L1099">
        <v>10</v>
      </c>
      <c r="M1099">
        <v>539.1</v>
      </c>
      <c r="N1099">
        <v>5391</v>
      </c>
      <c r="O1099" t="s">
        <v>22</v>
      </c>
      <c r="P1099" s="2" t="s">
        <v>30</v>
      </c>
      <c r="Q1099" s="2" t="s">
        <v>24</v>
      </c>
    </row>
    <row r="1100" spans="1:17" hidden="1" x14ac:dyDescent="0.3">
      <c r="A1100">
        <v>202400720</v>
      </c>
      <c r="B1100" s="1">
        <v>45590</v>
      </c>
      <c r="C1100">
        <v>2024</v>
      </c>
      <c r="D1100">
        <v>4</v>
      </c>
      <c r="E1100">
        <v>10</v>
      </c>
      <c r="F1100">
        <v>2</v>
      </c>
      <c r="G1100" s="2" t="s">
        <v>32</v>
      </c>
      <c r="H1100" s="2" t="s">
        <v>140</v>
      </c>
      <c r="I1100" s="2" t="s">
        <v>33</v>
      </c>
      <c r="J1100" s="2" t="s">
        <v>34</v>
      </c>
      <c r="K1100" s="2" t="s">
        <v>28</v>
      </c>
      <c r="L1100">
        <v>7</v>
      </c>
      <c r="M1100">
        <v>1502.66</v>
      </c>
      <c r="N1100">
        <v>10518.62</v>
      </c>
      <c r="O1100" t="s">
        <v>29</v>
      </c>
      <c r="P1100" s="2" t="s">
        <v>43</v>
      </c>
      <c r="Q1100" s="2" t="s">
        <v>24</v>
      </c>
    </row>
    <row r="1101" spans="1:17" hidden="1" x14ac:dyDescent="0.3">
      <c r="A1101">
        <v>202400296</v>
      </c>
      <c r="B1101" s="1">
        <v>45588</v>
      </c>
      <c r="C1101">
        <v>2024</v>
      </c>
      <c r="D1101">
        <v>4</v>
      </c>
      <c r="E1101">
        <v>10</v>
      </c>
      <c r="F1101">
        <v>52</v>
      </c>
      <c r="G1101" s="2" t="s">
        <v>105</v>
      </c>
      <c r="H1101" s="2" t="s">
        <v>62</v>
      </c>
      <c r="I1101" s="2" t="s">
        <v>78</v>
      </c>
      <c r="J1101" s="2" t="s">
        <v>75</v>
      </c>
      <c r="K1101" s="2" t="s">
        <v>52</v>
      </c>
      <c r="L1101">
        <v>11</v>
      </c>
      <c r="M1101">
        <v>1528.55</v>
      </c>
      <c r="N1101">
        <v>16814.05</v>
      </c>
      <c r="O1101" t="s">
        <v>22</v>
      </c>
      <c r="P1101" s="2" t="s">
        <v>30</v>
      </c>
      <c r="Q1101" s="2" t="s">
        <v>24</v>
      </c>
    </row>
    <row r="1102" spans="1:17" x14ac:dyDescent="0.3">
      <c r="A1102">
        <v>202401017</v>
      </c>
      <c r="B1102" s="1">
        <v>45320</v>
      </c>
      <c r="C1102">
        <v>2024</v>
      </c>
      <c r="D1102">
        <v>1</v>
      </c>
      <c r="E1102">
        <v>1</v>
      </c>
      <c r="F1102">
        <v>64</v>
      </c>
      <c r="G1102" s="2" t="s">
        <v>106</v>
      </c>
      <c r="H1102" s="2" t="s">
        <v>26</v>
      </c>
      <c r="I1102" s="2" t="s">
        <v>27</v>
      </c>
      <c r="J1102" s="2" t="s">
        <v>20</v>
      </c>
      <c r="K1102" s="2" t="s">
        <v>39</v>
      </c>
      <c r="L1102">
        <v>8</v>
      </c>
      <c r="M1102">
        <v>1415.75</v>
      </c>
      <c r="N1102">
        <v>11326</v>
      </c>
      <c r="O1102" t="s">
        <v>29</v>
      </c>
      <c r="P1102" s="2" t="s">
        <v>48</v>
      </c>
      <c r="Q1102" s="2" t="s">
        <v>41</v>
      </c>
    </row>
    <row r="1103" spans="1:17" hidden="1" x14ac:dyDescent="0.3">
      <c r="A1103">
        <v>202400456</v>
      </c>
      <c r="B1103" s="1">
        <v>45644</v>
      </c>
      <c r="C1103">
        <v>2024</v>
      </c>
      <c r="D1103">
        <v>4</v>
      </c>
      <c r="E1103">
        <v>12</v>
      </c>
      <c r="F1103">
        <v>64</v>
      </c>
      <c r="G1103" s="2" t="s">
        <v>106</v>
      </c>
      <c r="H1103" s="2" t="s">
        <v>26</v>
      </c>
      <c r="I1103" s="2" t="s">
        <v>27</v>
      </c>
      <c r="J1103" s="2" t="s">
        <v>20</v>
      </c>
      <c r="K1103" s="2" t="s">
        <v>97</v>
      </c>
      <c r="L1103">
        <v>2</v>
      </c>
      <c r="M1103">
        <v>788.53</v>
      </c>
      <c r="N1103">
        <v>1577.06</v>
      </c>
      <c r="O1103" t="s">
        <v>36</v>
      </c>
      <c r="P1103" s="2" t="s">
        <v>48</v>
      </c>
      <c r="Q1103" s="2" t="s">
        <v>41</v>
      </c>
    </row>
    <row r="1104" spans="1:17" hidden="1" x14ac:dyDescent="0.3">
      <c r="A1104">
        <v>202400816</v>
      </c>
      <c r="B1104" s="1">
        <v>45465</v>
      </c>
      <c r="C1104">
        <v>2024</v>
      </c>
      <c r="D1104">
        <v>2</v>
      </c>
      <c r="E1104">
        <v>6</v>
      </c>
      <c r="F1104">
        <v>37</v>
      </c>
      <c r="G1104" s="2" t="s">
        <v>96</v>
      </c>
      <c r="H1104" s="2" t="s">
        <v>62</v>
      </c>
      <c r="I1104" s="2" t="s">
        <v>56</v>
      </c>
      <c r="J1104" s="2" t="s">
        <v>57</v>
      </c>
      <c r="K1104" s="2" t="s">
        <v>59</v>
      </c>
      <c r="L1104">
        <v>3</v>
      </c>
      <c r="M1104">
        <v>1492.82</v>
      </c>
      <c r="N1104">
        <v>4478.46</v>
      </c>
      <c r="O1104" t="s">
        <v>29</v>
      </c>
      <c r="P1104" s="2" t="s">
        <v>30</v>
      </c>
      <c r="Q1104" s="2" t="s">
        <v>24</v>
      </c>
    </row>
    <row r="1105" spans="1:17" hidden="1" x14ac:dyDescent="0.3">
      <c r="A1105">
        <v>202400270</v>
      </c>
      <c r="B1105" s="1">
        <v>45412</v>
      </c>
      <c r="C1105">
        <v>2024</v>
      </c>
      <c r="D1105">
        <v>2</v>
      </c>
      <c r="E1105">
        <v>4</v>
      </c>
      <c r="F1105">
        <v>1</v>
      </c>
      <c r="G1105" s="2" t="s">
        <v>17</v>
      </c>
      <c r="H1105" s="2" t="s">
        <v>26</v>
      </c>
      <c r="I1105" s="2" t="s">
        <v>78</v>
      </c>
      <c r="J1105" s="2" t="s">
        <v>75</v>
      </c>
      <c r="K1105" s="2" t="s">
        <v>97</v>
      </c>
      <c r="L1105">
        <v>12</v>
      </c>
      <c r="M1105">
        <v>462.24</v>
      </c>
      <c r="N1105">
        <v>5546.88</v>
      </c>
      <c r="O1105" t="s">
        <v>22</v>
      </c>
      <c r="P1105" s="2" t="s">
        <v>30</v>
      </c>
      <c r="Q1105" s="2" t="s">
        <v>24</v>
      </c>
    </row>
    <row r="1106" spans="1:17" hidden="1" x14ac:dyDescent="0.3">
      <c r="A1106">
        <v>202400996</v>
      </c>
      <c r="B1106" s="1">
        <v>45500</v>
      </c>
      <c r="C1106">
        <v>2024</v>
      </c>
      <c r="D1106">
        <v>3</v>
      </c>
      <c r="E1106">
        <v>7</v>
      </c>
      <c r="F1106">
        <v>14</v>
      </c>
      <c r="G1106" s="2" t="s">
        <v>106</v>
      </c>
      <c r="H1106" s="2" t="s">
        <v>26</v>
      </c>
      <c r="I1106" s="2" t="s">
        <v>54</v>
      </c>
      <c r="J1106" s="2" t="s">
        <v>20</v>
      </c>
      <c r="K1106" s="2" t="s">
        <v>52</v>
      </c>
      <c r="L1106">
        <v>4</v>
      </c>
      <c r="M1106">
        <v>1779.03</v>
      </c>
      <c r="N1106">
        <v>7116.12</v>
      </c>
      <c r="O1106" t="s">
        <v>29</v>
      </c>
      <c r="P1106" s="2" t="s">
        <v>48</v>
      </c>
      <c r="Q1106" s="2" t="s">
        <v>24</v>
      </c>
    </row>
    <row r="1107" spans="1:17" hidden="1" x14ac:dyDescent="0.3">
      <c r="A1107">
        <v>202400202</v>
      </c>
      <c r="B1107" s="1">
        <v>45416</v>
      </c>
      <c r="C1107">
        <v>2024</v>
      </c>
      <c r="D1107">
        <v>2</v>
      </c>
      <c r="E1107">
        <v>5</v>
      </c>
      <c r="F1107">
        <v>54</v>
      </c>
      <c r="G1107" s="2" t="s">
        <v>68</v>
      </c>
      <c r="H1107" s="2" t="s">
        <v>69</v>
      </c>
      <c r="I1107" s="2" t="s">
        <v>19</v>
      </c>
      <c r="J1107" s="2" t="s">
        <v>20</v>
      </c>
      <c r="K1107" s="2" t="s">
        <v>39</v>
      </c>
      <c r="L1107">
        <v>13</v>
      </c>
      <c r="M1107">
        <v>299.97000000000003</v>
      </c>
      <c r="N1107">
        <v>3899.6100000000006</v>
      </c>
      <c r="O1107" t="s">
        <v>22</v>
      </c>
      <c r="P1107" s="2" t="s">
        <v>43</v>
      </c>
      <c r="Q1107" s="2" t="s">
        <v>24</v>
      </c>
    </row>
    <row r="1108" spans="1:17" hidden="1" x14ac:dyDescent="0.3">
      <c r="A1108">
        <v>202400162</v>
      </c>
      <c r="B1108" s="1">
        <v>45596</v>
      </c>
      <c r="C1108">
        <v>2024</v>
      </c>
      <c r="D1108">
        <v>4</v>
      </c>
      <c r="E1108">
        <v>10</v>
      </c>
      <c r="F1108">
        <v>52</v>
      </c>
      <c r="G1108" s="2" t="s">
        <v>105</v>
      </c>
      <c r="H1108" s="2" t="s">
        <v>62</v>
      </c>
      <c r="I1108" s="2" t="s">
        <v>78</v>
      </c>
      <c r="J1108" s="2" t="s">
        <v>75</v>
      </c>
      <c r="K1108" s="2" t="s">
        <v>59</v>
      </c>
      <c r="L1108">
        <v>9</v>
      </c>
      <c r="M1108">
        <v>374.19</v>
      </c>
      <c r="N1108">
        <v>3367.71</v>
      </c>
      <c r="O1108" t="s">
        <v>29</v>
      </c>
      <c r="P1108" s="2" t="s">
        <v>30</v>
      </c>
      <c r="Q1108" s="2" t="s">
        <v>24</v>
      </c>
    </row>
    <row r="1109" spans="1:17" hidden="1" x14ac:dyDescent="0.3">
      <c r="A1109">
        <v>202400730</v>
      </c>
      <c r="B1109" s="1">
        <v>45506</v>
      </c>
      <c r="C1109">
        <v>2024</v>
      </c>
      <c r="D1109">
        <v>3</v>
      </c>
      <c r="E1109">
        <v>8</v>
      </c>
      <c r="F1109">
        <v>20</v>
      </c>
      <c r="G1109" s="2" t="s">
        <v>81</v>
      </c>
      <c r="H1109" s="2" t="s">
        <v>69</v>
      </c>
      <c r="I1109" s="2" t="s">
        <v>56</v>
      </c>
      <c r="J1109" s="2" t="s">
        <v>57</v>
      </c>
      <c r="K1109" s="2" t="s">
        <v>71</v>
      </c>
      <c r="L1109">
        <v>9</v>
      </c>
      <c r="M1109">
        <v>1763.72</v>
      </c>
      <c r="N1109">
        <v>15873.48</v>
      </c>
      <c r="O1109" t="s">
        <v>29</v>
      </c>
      <c r="P1109" s="2" t="s">
        <v>43</v>
      </c>
      <c r="Q1109" s="2" t="s">
        <v>24</v>
      </c>
    </row>
    <row r="1110" spans="1:17" hidden="1" x14ac:dyDescent="0.3">
      <c r="A1110">
        <v>202400402</v>
      </c>
      <c r="B1110" s="1">
        <v>45607</v>
      </c>
      <c r="C1110">
        <v>2024</v>
      </c>
      <c r="D1110">
        <v>4</v>
      </c>
      <c r="E1110">
        <v>11</v>
      </c>
      <c r="F1110">
        <v>6</v>
      </c>
      <c r="G1110" s="2" t="s">
        <v>55</v>
      </c>
      <c r="H1110" s="2" t="s">
        <v>26</v>
      </c>
      <c r="I1110" s="2" t="s">
        <v>56</v>
      </c>
      <c r="J1110" s="2" t="s">
        <v>57</v>
      </c>
      <c r="K1110" s="2" t="s">
        <v>51</v>
      </c>
      <c r="L1110">
        <v>5</v>
      </c>
      <c r="M1110">
        <v>66.72</v>
      </c>
      <c r="N1110">
        <v>333.6</v>
      </c>
      <c r="O1110" t="s">
        <v>29</v>
      </c>
      <c r="P1110" s="2" t="s">
        <v>30</v>
      </c>
      <c r="Q1110" s="2" t="s">
        <v>24</v>
      </c>
    </row>
    <row r="1111" spans="1:17" hidden="1" x14ac:dyDescent="0.3">
      <c r="A1111">
        <v>202400703</v>
      </c>
      <c r="B1111" s="1">
        <v>45489</v>
      </c>
      <c r="C1111">
        <v>2024</v>
      </c>
      <c r="D1111">
        <v>3</v>
      </c>
      <c r="E1111">
        <v>7</v>
      </c>
      <c r="F1111">
        <v>34</v>
      </c>
      <c r="G1111" s="2" t="s">
        <v>95</v>
      </c>
      <c r="H1111" s="2" t="s">
        <v>18</v>
      </c>
      <c r="I1111" s="2" t="s">
        <v>54</v>
      </c>
      <c r="J1111" s="2" t="s">
        <v>20</v>
      </c>
      <c r="K1111" s="2" t="s">
        <v>47</v>
      </c>
      <c r="L1111">
        <v>6</v>
      </c>
      <c r="M1111">
        <v>1786.23</v>
      </c>
      <c r="N1111">
        <v>10717.380000000001</v>
      </c>
      <c r="O1111" t="s">
        <v>29</v>
      </c>
      <c r="P1111" s="2" t="s">
        <v>43</v>
      </c>
      <c r="Q1111" s="2" t="s">
        <v>41</v>
      </c>
    </row>
    <row r="1112" spans="1:17" hidden="1" x14ac:dyDescent="0.3">
      <c r="A1112">
        <v>202401130</v>
      </c>
      <c r="B1112" s="1">
        <v>45635</v>
      </c>
      <c r="C1112">
        <v>2024</v>
      </c>
      <c r="D1112">
        <v>4</v>
      </c>
      <c r="E1112">
        <v>12</v>
      </c>
      <c r="F1112">
        <v>43</v>
      </c>
      <c r="G1112" s="2" t="s">
        <v>100</v>
      </c>
      <c r="H1112" s="2" t="s">
        <v>69</v>
      </c>
      <c r="I1112" s="2" t="s">
        <v>54</v>
      </c>
      <c r="J1112" s="2" t="s">
        <v>20</v>
      </c>
      <c r="K1112" s="2" t="s">
        <v>59</v>
      </c>
      <c r="L1112">
        <v>2</v>
      </c>
      <c r="M1112">
        <v>901.79</v>
      </c>
      <c r="N1112">
        <v>1803.58</v>
      </c>
      <c r="O1112" t="s">
        <v>36</v>
      </c>
      <c r="P1112" s="2" t="s">
        <v>30</v>
      </c>
      <c r="Q1112" s="2" t="s">
        <v>24</v>
      </c>
    </row>
    <row r="1113" spans="1:17" x14ac:dyDescent="0.3">
      <c r="A1113">
        <v>202400566</v>
      </c>
      <c r="B1113" s="1">
        <v>45316</v>
      </c>
      <c r="C1113">
        <v>2024</v>
      </c>
      <c r="D1113">
        <v>1</v>
      </c>
      <c r="E1113">
        <v>1</v>
      </c>
      <c r="F1113">
        <v>3</v>
      </c>
      <c r="G1113" s="2" t="s">
        <v>44</v>
      </c>
      <c r="H1113" s="2" t="s">
        <v>26</v>
      </c>
      <c r="I1113" s="2" t="s">
        <v>38</v>
      </c>
      <c r="J1113" s="2" t="s">
        <v>20</v>
      </c>
      <c r="K1113" s="2" t="s">
        <v>47</v>
      </c>
      <c r="L1113">
        <v>1</v>
      </c>
      <c r="M1113">
        <v>318.27999999999997</v>
      </c>
      <c r="N1113">
        <v>318.27999999999997</v>
      </c>
      <c r="O1113" t="s">
        <v>36</v>
      </c>
      <c r="P1113" s="2" t="s">
        <v>30</v>
      </c>
      <c r="Q1113" s="2" t="s">
        <v>24</v>
      </c>
    </row>
    <row r="1114" spans="1:17" hidden="1" x14ac:dyDescent="0.3">
      <c r="A1114">
        <v>202401026</v>
      </c>
      <c r="B1114" s="1">
        <v>45441</v>
      </c>
      <c r="C1114">
        <v>2024</v>
      </c>
      <c r="D1114">
        <v>2</v>
      </c>
      <c r="E1114">
        <v>5</v>
      </c>
      <c r="F1114">
        <v>46</v>
      </c>
      <c r="G1114" s="2" t="s">
        <v>88</v>
      </c>
      <c r="H1114" s="2" t="s">
        <v>26</v>
      </c>
      <c r="I1114" s="2" t="s">
        <v>85</v>
      </c>
      <c r="J1114" s="2" t="s">
        <v>57</v>
      </c>
      <c r="K1114" s="2" t="s">
        <v>52</v>
      </c>
      <c r="L1114">
        <v>9</v>
      </c>
      <c r="M1114">
        <v>295.8</v>
      </c>
      <c r="N1114">
        <v>2662.2000000000003</v>
      </c>
      <c r="O1114" t="s">
        <v>29</v>
      </c>
      <c r="P1114" s="2" t="s">
        <v>43</v>
      </c>
      <c r="Q1114" s="2" t="s">
        <v>24</v>
      </c>
    </row>
    <row r="1115" spans="1:17" hidden="1" x14ac:dyDescent="0.3">
      <c r="A1115">
        <v>202401105</v>
      </c>
      <c r="B1115" s="1">
        <v>45477</v>
      </c>
      <c r="C1115">
        <v>2024</v>
      </c>
      <c r="D1115">
        <v>3</v>
      </c>
      <c r="E1115">
        <v>7</v>
      </c>
      <c r="F1115">
        <v>64</v>
      </c>
      <c r="G1115" s="2" t="s">
        <v>106</v>
      </c>
      <c r="H1115" s="2" t="s">
        <v>26</v>
      </c>
      <c r="I1115" s="2" t="s">
        <v>27</v>
      </c>
      <c r="J1115" s="2" t="s">
        <v>20</v>
      </c>
      <c r="K1115" s="2" t="s">
        <v>21</v>
      </c>
      <c r="L1115">
        <v>0</v>
      </c>
      <c r="M1115">
        <v>870.23</v>
      </c>
      <c r="N1115">
        <v>0</v>
      </c>
      <c r="O1115" t="s">
        <v>36</v>
      </c>
      <c r="P1115" s="2" t="s">
        <v>30</v>
      </c>
      <c r="Q1115" s="2" t="s">
        <v>31</v>
      </c>
    </row>
    <row r="1116" spans="1:17" hidden="1" x14ac:dyDescent="0.3">
      <c r="A1116">
        <v>202400206</v>
      </c>
      <c r="B1116" s="1">
        <v>45599</v>
      </c>
      <c r="C1116">
        <v>2024</v>
      </c>
      <c r="D1116">
        <v>4</v>
      </c>
      <c r="E1116">
        <v>11</v>
      </c>
      <c r="F1116">
        <v>53</v>
      </c>
      <c r="G1116" s="2" t="s">
        <v>113</v>
      </c>
      <c r="H1116" s="2" t="s">
        <v>26</v>
      </c>
      <c r="I1116" s="2" t="s">
        <v>27</v>
      </c>
      <c r="J1116" s="2" t="s">
        <v>20</v>
      </c>
      <c r="K1116" s="2" t="s">
        <v>52</v>
      </c>
      <c r="L1116">
        <v>8</v>
      </c>
      <c r="M1116">
        <v>1665.77</v>
      </c>
      <c r="N1116">
        <v>13326.16</v>
      </c>
      <c r="O1116" t="s">
        <v>29</v>
      </c>
      <c r="P1116" s="2" t="s">
        <v>43</v>
      </c>
      <c r="Q1116" s="2" t="s">
        <v>41</v>
      </c>
    </row>
    <row r="1117" spans="1:17" x14ac:dyDescent="0.3">
      <c r="A1117">
        <v>202400035</v>
      </c>
      <c r="B1117" s="1">
        <v>45369</v>
      </c>
      <c r="C1117">
        <v>2024</v>
      </c>
      <c r="D1117">
        <v>1</v>
      </c>
      <c r="E1117">
        <v>3</v>
      </c>
      <c r="F1117">
        <v>42</v>
      </c>
      <c r="G1117" s="2" t="s">
        <v>46</v>
      </c>
      <c r="H1117" s="2" t="s">
        <v>26</v>
      </c>
      <c r="I1117" s="2" t="s">
        <v>38</v>
      </c>
      <c r="J1117" s="2" t="s">
        <v>20</v>
      </c>
      <c r="K1117" s="2" t="s">
        <v>60</v>
      </c>
      <c r="L1117">
        <v>4</v>
      </c>
      <c r="M1117">
        <v>1131.3900000000001</v>
      </c>
      <c r="N1117">
        <v>4525.5600000000004</v>
      </c>
      <c r="O1117" t="s">
        <v>29</v>
      </c>
      <c r="P1117" s="2" t="s">
        <v>30</v>
      </c>
      <c r="Q1117" s="2" t="s">
        <v>24</v>
      </c>
    </row>
    <row r="1118" spans="1:17" hidden="1" x14ac:dyDescent="0.3">
      <c r="A1118">
        <v>202400776</v>
      </c>
      <c r="B1118" s="1">
        <v>45531</v>
      </c>
      <c r="C1118">
        <v>2024</v>
      </c>
      <c r="D1118">
        <v>3</v>
      </c>
      <c r="E1118">
        <v>8</v>
      </c>
      <c r="F1118">
        <v>41</v>
      </c>
      <c r="G1118" s="2" t="s">
        <v>99</v>
      </c>
      <c r="H1118" s="2" t="s">
        <v>18</v>
      </c>
      <c r="I1118" s="2" t="s">
        <v>78</v>
      </c>
      <c r="J1118" s="2" t="s">
        <v>75</v>
      </c>
      <c r="K1118" s="2" t="s">
        <v>21</v>
      </c>
      <c r="L1118">
        <v>1</v>
      </c>
      <c r="M1118">
        <v>1998.42</v>
      </c>
      <c r="N1118">
        <v>1998.42</v>
      </c>
      <c r="O1118" t="s">
        <v>36</v>
      </c>
      <c r="P1118" s="2" t="s">
        <v>30</v>
      </c>
      <c r="Q1118" s="2" t="s">
        <v>24</v>
      </c>
    </row>
    <row r="1119" spans="1:17" hidden="1" x14ac:dyDescent="0.3">
      <c r="A1119">
        <v>202400509</v>
      </c>
      <c r="B1119" s="1">
        <v>45652</v>
      </c>
      <c r="C1119">
        <v>2024</v>
      </c>
      <c r="D1119">
        <v>4</v>
      </c>
      <c r="E1119">
        <v>12</v>
      </c>
      <c r="F1119">
        <v>55</v>
      </c>
      <c r="G1119" s="2" t="s">
        <v>87</v>
      </c>
      <c r="H1119" s="2" t="s">
        <v>69</v>
      </c>
      <c r="I1119" s="2" t="s">
        <v>85</v>
      </c>
      <c r="J1119" s="2" t="s">
        <v>57</v>
      </c>
      <c r="K1119" s="2" t="s">
        <v>58</v>
      </c>
      <c r="L1119">
        <v>1</v>
      </c>
      <c r="M1119">
        <v>1872.61</v>
      </c>
      <c r="N1119">
        <v>1872.61</v>
      </c>
      <c r="O1119" t="s">
        <v>36</v>
      </c>
      <c r="P1119" s="2" t="s">
        <v>30</v>
      </c>
      <c r="Q1119" s="2" t="s">
        <v>24</v>
      </c>
    </row>
    <row r="1120" spans="1:17" x14ac:dyDescent="0.3">
      <c r="A1120">
        <v>202401196</v>
      </c>
      <c r="B1120" s="1">
        <v>45320</v>
      </c>
      <c r="C1120">
        <v>2024</v>
      </c>
      <c r="D1120">
        <v>1</v>
      </c>
      <c r="E1120">
        <v>1</v>
      </c>
      <c r="F1120">
        <v>79</v>
      </c>
      <c r="G1120" s="2" t="s">
        <v>108</v>
      </c>
      <c r="H1120" s="2" t="s">
        <v>69</v>
      </c>
      <c r="I1120" s="2" t="s">
        <v>85</v>
      </c>
      <c r="J1120" s="2" t="s">
        <v>57</v>
      </c>
      <c r="K1120" s="2" t="s">
        <v>21</v>
      </c>
      <c r="L1120">
        <v>12</v>
      </c>
      <c r="M1120">
        <v>1870.1</v>
      </c>
      <c r="N1120">
        <v>22441.199999999997</v>
      </c>
      <c r="O1120" t="s">
        <v>22</v>
      </c>
      <c r="P1120" s="2" t="s">
        <v>43</v>
      </c>
      <c r="Q1120" s="2" t="s">
        <v>41</v>
      </c>
    </row>
    <row r="1121" spans="1:17" hidden="1" x14ac:dyDescent="0.3">
      <c r="A1121">
        <v>202400092</v>
      </c>
      <c r="B1121" s="1">
        <v>45405</v>
      </c>
      <c r="C1121">
        <v>2024</v>
      </c>
      <c r="D1121">
        <v>2</v>
      </c>
      <c r="E1121">
        <v>4</v>
      </c>
      <c r="F1121">
        <v>1</v>
      </c>
      <c r="G1121" s="2" t="s">
        <v>17</v>
      </c>
      <c r="H1121" s="2" t="s">
        <v>26</v>
      </c>
      <c r="I1121" s="2" t="s">
        <v>78</v>
      </c>
      <c r="J1121" s="2" t="s">
        <v>75</v>
      </c>
      <c r="K1121" s="2" t="s">
        <v>21</v>
      </c>
      <c r="L1121">
        <v>1</v>
      </c>
      <c r="M1121">
        <v>1709.72</v>
      </c>
      <c r="N1121">
        <v>1709.72</v>
      </c>
      <c r="O1121" t="s">
        <v>36</v>
      </c>
      <c r="P1121" s="2" t="s">
        <v>43</v>
      </c>
      <c r="Q1121" s="2" t="s">
        <v>40</v>
      </c>
    </row>
    <row r="1122" spans="1:17" hidden="1" x14ac:dyDescent="0.3">
      <c r="A1122">
        <v>202400898</v>
      </c>
      <c r="B1122" s="1">
        <v>45547</v>
      </c>
      <c r="C1122">
        <v>2024</v>
      </c>
      <c r="D1122">
        <v>3</v>
      </c>
      <c r="E1122">
        <v>9</v>
      </c>
      <c r="F1122">
        <v>79</v>
      </c>
      <c r="G1122" s="2" t="s">
        <v>108</v>
      </c>
      <c r="H1122" s="2" t="s">
        <v>69</v>
      </c>
      <c r="I1122" s="2" t="s">
        <v>85</v>
      </c>
      <c r="J1122" s="2" t="s">
        <v>57</v>
      </c>
      <c r="K1122" s="2" t="s">
        <v>47</v>
      </c>
      <c r="L1122">
        <v>1</v>
      </c>
      <c r="M1122">
        <v>834.69</v>
      </c>
      <c r="N1122">
        <v>834.69</v>
      </c>
      <c r="O1122" t="s">
        <v>36</v>
      </c>
      <c r="P1122" s="2" t="s">
        <v>48</v>
      </c>
      <c r="Q1122" s="2" t="s">
        <v>24</v>
      </c>
    </row>
    <row r="1123" spans="1:17" hidden="1" x14ac:dyDescent="0.3">
      <c r="A1123">
        <v>202400565</v>
      </c>
      <c r="B1123" s="1">
        <v>45476</v>
      </c>
      <c r="C1123">
        <v>2024</v>
      </c>
      <c r="D1123">
        <v>3</v>
      </c>
      <c r="E1123">
        <v>7</v>
      </c>
      <c r="F1123">
        <v>49</v>
      </c>
      <c r="G1123" s="2" t="s">
        <v>83</v>
      </c>
      <c r="H1123" s="2" t="s">
        <v>69</v>
      </c>
      <c r="I1123" s="2" t="s">
        <v>56</v>
      </c>
      <c r="J1123" s="2" t="s">
        <v>57</v>
      </c>
      <c r="K1123" s="2" t="s">
        <v>60</v>
      </c>
      <c r="L1123">
        <v>9</v>
      </c>
      <c r="M1123">
        <v>305.48</v>
      </c>
      <c r="N1123">
        <v>2749.32</v>
      </c>
      <c r="O1123" t="s">
        <v>29</v>
      </c>
      <c r="P1123" s="2" t="s">
        <v>43</v>
      </c>
      <c r="Q1123" s="2" t="s">
        <v>40</v>
      </c>
    </row>
    <row r="1124" spans="1:17" x14ac:dyDescent="0.3">
      <c r="A1124">
        <v>202400777</v>
      </c>
      <c r="B1124" s="1">
        <v>45301</v>
      </c>
      <c r="C1124">
        <v>2024</v>
      </c>
      <c r="D1124">
        <v>1</v>
      </c>
      <c r="E1124">
        <v>1</v>
      </c>
      <c r="F1124">
        <v>77</v>
      </c>
      <c r="G1124" s="2" t="s">
        <v>109</v>
      </c>
      <c r="H1124" s="2" t="s">
        <v>140</v>
      </c>
      <c r="I1124" s="2" t="s">
        <v>74</v>
      </c>
      <c r="J1124" s="2" t="s">
        <v>75</v>
      </c>
      <c r="K1124" s="2" t="s">
        <v>51</v>
      </c>
      <c r="L1124">
        <v>3</v>
      </c>
      <c r="M1124">
        <v>317.44</v>
      </c>
      <c r="N1124">
        <v>952.31999999999994</v>
      </c>
      <c r="O1124" t="s">
        <v>29</v>
      </c>
      <c r="P1124" s="2" t="s">
        <v>30</v>
      </c>
      <c r="Q1124" s="2" t="s">
        <v>41</v>
      </c>
    </row>
    <row r="1125" spans="1:17" hidden="1" x14ac:dyDescent="0.3">
      <c r="A1125">
        <v>202400242</v>
      </c>
      <c r="B1125" s="1">
        <v>45628</v>
      </c>
      <c r="C1125">
        <v>2024</v>
      </c>
      <c r="D1125">
        <v>4</v>
      </c>
      <c r="E1125">
        <v>12</v>
      </c>
      <c r="F1125">
        <v>59</v>
      </c>
      <c r="G1125" s="2" t="s">
        <v>73</v>
      </c>
      <c r="H1125" s="2" t="s">
        <v>62</v>
      </c>
      <c r="I1125" s="2" t="s">
        <v>74</v>
      </c>
      <c r="J1125" s="2" t="s">
        <v>75</v>
      </c>
      <c r="K1125" s="2" t="s">
        <v>52</v>
      </c>
      <c r="L1125">
        <v>1</v>
      </c>
      <c r="M1125">
        <v>666.81</v>
      </c>
      <c r="N1125">
        <v>666.81</v>
      </c>
      <c r="O1125" t="s">
        <v>36</v>
      </c>
      <c r="P1125" s="2" t="s">
        <v>23</v>
      </c>
      <c r="Q1125" s="2" t="s">
        <v>24</v>
      </c>
    </row>
    <row r="1126" spans="1:17" hidden="1" x14ac:dyDescent="0.3">
      <c r="A1126">
        <v>202400014</v>
      </c>
      <c r="B1126" s="1">
        <v>45523</v>
      </c>
      <c r="C1126">
        <v>2024</v>
      </c>
      <c r="D1126">
        <v>3</v>
      </c>
      <c r="E1126">
        <v>8</v>
      </c>
      <c r="F1126">
        <v>14</v>
      </c>
      <c r="G1126" s="2" t="s">
        <v>106</v>
      </c>
      <c r="H1126" s="2" t="s">
        <v>26</v>
      </c>
      <c r="I1126" s="2" t="s">
        <v>54</v>
      </c>
      <c r="J1126" s="2" t="s">
        <v>20</v>
      </c>
      <c r="K1126" s="2" t="s">
        <v>58</v>
      </c>
      <c r="L1126">
        <v>8</v>
      </c>
      <c r="M1126">
        <v>1350.4</v>
      </c>
      <c r="N1126">
        <v>10803.2</v>
      </c>
      <c r="O1126" t="s">
        <v>29</v>
      </c>
      <c r="P1126" s="2" t="s">
        <v>30</v>
      </c>
      <c r="Q1126" s="2" t="s">
        <v>24</v>
      </c>
    </row>
    <row r="1127" spans="1:17" hidden="1" x14ac:dyDescent="0.3">
      <c r="A1127">
        <v>202400316</v>
      </c>
      <c r="B1127" s="1">
        <v>45579</v>
      </c>
      <c r="C1127">
        <v>2024</v>
      </c>
      <c r="D1127">
        <v>4</v>
      </c>
      <c r="E1127">
        <v>10</v>
      </c>
      <c r="F1127">
        <v>29</v>
      </c>
      <c r="G1127" s="2" t="s">
        <v>61</v>
      </c>
      <c r="H1127" s="2" t="s">
        <v>62</v>
      </c>
      <c r="I1127" s="2" t="s">
        <v>19</v>
      </c>
      <c r="J1127" s="2" t="s">
        <v>20</v>
      </c>
      <c r="K1127" s="2" t="s">
        <v>52</v>
      </c>
      <c r="L1127">
        <v>12</v>
      </c>
      <c r="M1127">
        <v>455.88</v>
      </c>
      <c r="N1127">
        <v>5470.5599999999995</v>
      </c>
      <c r="O1127" t="s">
        <v>22</v>
      </c>
      <c r="P1127" s="2" t="s">
        <v>43</v>
      </c>
      <c r="Q1127" s="2" t="s">
        <v>24</v>
      </c>
    </row>
    <row r="1128" spans="1:17" x14ac:dyDescent="0.3">
      <c r="A1128">
        <v>202400601</v>
      </c>
      <c r="B1128" s="1">
        <v>45294</v>
      </c>
      <c r="C1128">
        <v>2024</v>
      </c>
      <c r="D1128">
        <v>1</v>
      </c>
      <c r="E1128">
        <v>1</v>
      </c>
      <c r="F1128">
        <v>67</v>
      </c>
      <c r="G1128" s="2" t="s">
        <v>124</v>
      </c>
      <c r="H1128" s="2" t="s">
        <v>69</v>
      </c>
      <c r="I1128" s="2" t="s">
        <v>54</v>
      </c>
      <c r="J1128" s="2" t="s">
        <v>20</v>
      </c>
      <c r="K1128" s="2" t="s">
        <v>51</v>
      </c>
      <c r="L1128">
        <v>7</v>
      </c>
      <c r="M1128">
        <v>330.45</v>
      </c>
      <c r="N1128">
        <v>2313.15</v>
      </c>
      <c r="O1128" t="s">
        <v>29</v>
      </c>
      <c r="P1128" s="2" t="s">
        <v>23</v>
      </c>
      <c r="Q1128" s="2" t="s">
        <v>40</v>
      </c>
    </row>
    <row r="1129" spans="1:17" x14ac:dyDescent="0.3">
      <c r="A1129">
        <v>202400388</v>
      </c>
      <c r="B1129" s="1">
        <v>45351</v>
      </c>
      <c r="C1129">
        <v>2024</v>
      </c>
      <c r="D1129">
        <v>1</v>
      </c>
      <c r="E1129">
        <v>2</v>
      </c>
      <c r="F1129">
        <v>14</v>
      </c>
      <c r="G1129" s="2" t="s">
        <v>106</v>
      </c>
      <c r="H1129" s="2" t="s">
        <v>26</v>
      </c>
      <c r="I1129" s="2" t="s">
        <v>54</v>
      </c>
      <c r="J1129" s="2" t="s">
        <v>20</v>
      </c>
      <c r="K1129" s="2" t="s">
        <v>71</v>
      </c>
      <c r="L1129">
        <v>4</v>
      </c>
      <c r="M1129">
        <v>594.97</v>
      </c>
      <c r="N1129">
        <v>2379.88</v>
      </c>
      <c r="O1129" t="s">
        <v>29</v>
      </c>
      <c r="P1129" s="2" t="s">
        <v>43</v>
      </c>
      <c r="Q1129" s="2" t="s">
        <v>41</v>
      </c>
    </row>
    <row r="1130" spans="1:17" x14ac:dyDescent="0.3">
      <c r="A1130">
        <v>202400167</v>
      </c>
      <c r="B1130" s="1">
        <v>45339</v>
      </c>
      <c r="C1130">
        <v>2024</v>
      </c>
      <c r="D1130">
        <v>1</v>
      </c>
      <c r="E1130">
        <v>2</v>
      </c>
      <c r="F1130">
        <v>79</v>
      </c>
      <c r="G1130" s="2" t="s">
        <v>108</v>
      </c>
      <c r="H1130" s="2" t="s">
        <v>69</v>
      </c>
      <c r="I1130" s="2" t="s">
        <v>85</v>
      </c>
      <c r="J1130" s="2" t="s">
        <v>57</v>
      </c>
      <c r="K1130" s="2" t="s">
        <v>39</v>
      </c>
      <c r="L1130">
        <v>4</v>
      </c>
      <c r="M1130">
        <v>58.39</v>
      </c>
      <c r="N1130">
        <v>233.56</v>
      </c>
      <c r="O1130" t="s">
        <v>29</v>
      </c>
      <c r="P1130" s="2" t="s">
        <v>43</v>
      </c>
      <c r="Q1130" s="2" t="s">
        <v>40</v>
      </c>
    </row>
    <row r="1131" spans="1:17" x14ac:dyDescent="0.3">
      <c r="A1131">
        <v>202400841</v>
      </c>
      <c r="B1131" s="1">
        <v>45304</v>
      </c>
      <c r="C1131">
        <v>2024</v>
      </c>
      <c r="D1131">
        <v>1</v>
      </c>
      <c r="E1131">
        <v>1</v>
      </c>
      <c r="F1131">
        <v>13</v>
      </c>
      <c r="G1131" s="2" t="s">
        <v>72</v>
      </c>
      <c r="H1131" s="2" t="s">
        <v>69</v>
      </c>
      <c r="I1131" s="2" t="s">
        <v>38</v>
      </c>
      <c r="J1131" s="2" t="s">
        <v>20</v>
      </c>
      <c r="K1131" s="2" t="s">
        <v>39</v>
      </c>
      <c r="L1131">
        <v>3</v>
      </c>
      <c r="M1131">
        <v>732.59</v>
      </c>
      <c r="N1131">
        <v>2197.77</v>
      </c>
      <c r="O1131" t="s">
        <v>29</v>
      </c>
      <c r="P1131" s="2" t="s">
        <v>30</v>
      </c>
      <c r="Q1131" s="2" t="s">
        <v>49</v>
      </c>
    </row>
    <row r="1132" spans="1:17" x14ac:dyDescent="0.3">
      <c r="A1132">
        <v>202400021</v>
      </c>
      <c r="B1132" s="1">
        <v>45305</v>
      </c>
      <c r="C1132">
        <v>2024</v>
      </c>
      <c r="D1132">
        <v>1</v>
      </c>
      <c r="E1132">
        <v>1</v>
      </c>
      <c r="F1132">
        <v>64</v>
      </c>
      <c r="G1132" s="2" t="s">
        <v>106</v>
      </c>
      <c r="H1132" s="2" t="s">
        <v>26</v>
      </c>
      <c r="I1132" s="2" t="s">
        <v>27</v>
      </c>
      <c r="J1132" s="2" t="s">
        <v>20</v>
      </c>
      <c r="K1132" s="2" t="s">
        <v>59</v>
      </c>
      <c r="L1132">
        <v>4</v>
      </c>
      <c r="M1132">
        <v>472.4</v>
      </c>
      <c r="N1132">
        <v>1889.6</v>
      </c>
      <c r="O1132" t="s">
        <v>29</v>
      </c>
      <c r="P1132" s="2" t="s">
        <v>30</v>
      </c>
      <c r="Q1132" s="2" t="s">
        <v>24</v>
      </c>
    </row>
    <row r="1133" spans="1:17" hidden="1" x14ac:dyDescent="0.3">
      <c r="A1133">
        <v>202400647</v>
      </c>
      <c r="B1133" s="1">
        <v>45574</v>
      </c>
      <c r="C1133">
        <v>2024</v>
      </c>
      <c r="D1133">
        <v>4</v>
      </c>
      <c r="E1133">
        <v>10</v>
      </c>
      <c r="F1133">
        <v>31</v>
      </c>
      <c r="G1133" s="2" t="s">
        <v>127</v>
      </c>
      <c r="H1133" s="2" t="s">
        <v>69</v>
      </c>
      <c r="I1133" s="2" t="s">
        <v>54</v>
      </c>
      <c r="J1133" s="2" t="s">
        <v>20</v>
      </c>
      <c r="K1133" s="2" t="s">
        <v>59</v>
      </c>
      <c r="L1133">
        <v>14</v>
      </c>
      <c r="M1133">
        <v>133.71</v>
      </c>
      <c r="N1133">
        <v>1871.94</v>
      </c>
      <c r="O1133" t="s">
        <v>22</v>
      </c>
      <c r="P1133" s="2" t="s">
        <v>23</v>
      </c>
      <c r="Q1133" s="2" t="s">
        <v>45</v>
      </c>
    </row>
    <row r="1134" spans="1:17" hidden="1" x14ac:dyDescent="0.3">
      <c r="A1134">
        <v>202400563</v>
      </c>
      <c r="B1134" s="1">
        <v>45577</v>
      </c>
      <c r="C1134">
        <v>2024</v>
      </c>
      <c r="D1134">
        <v>4</v>
      </c>
      <c r="E1134">
        <v>10</v>
      </c>
      <c r="F1134">
        <v>12</v>
      </c>
      <c r="G1134" s="2" t="s">
        <v>119</v>
      </c>
      <c r="H1134" s="2" t="s">
        <v>26</v>
      </c>
      <c r="I1134" s="2" t="s">
        <v>67</v>
      </c>
      <c r="J1134" s="2" t="s">
        <v>20</v>
      </c>
      <c r="K1134" s="2" t="s">
        <v>71</v>
      </c>
      <c r="L1134">
        <v>7</v>
      </c>
      <c r="M1134">
        <v>1394.24</v>
      </c>
      <c r="N1134">
        <v>9759.68</v>
      </c>
      <c r="O1134" t="s">
        <v>29</v>
      </c>
      <c r="P1134" s="2" t="s">
        <v>43</v>
      </c>
      <c r="Q1134" s="2" t="s">
        <v>31</v>
      </c>
    </row>
    <row r="1135" spans="1:17" hidden="1" x14ac:dyDescent="0.3">
      <c r="A1135">
        <v>202401182</v>
      </c>
      <c r="B1135" s="1">
        <v>45506</v>
      </c>
      <c r="C1135">
        <v>2024</v>
      </c>
      <c r="D1135">
        <v>3</v>
      </c>
      <c r="E1135">
        <v>8</v>
      </c>
      <c r="F1135">
        <v>39</v>
      </c>
      <c r="G1135" s="2" t="s">
        <v>98</v>
      </c>
      <c r="H1135" s="2" t="s">
        <v>18</v>
      </c>
      <c r="I1135" s="2" t="s">
        <v>19</v>
      </c>
      <c r="J1135" s="2" t="s">
        <v>20</v>
      </c>
      <c r="K1135" s="2" t="s">
        <v>47</v>
      </c>
      <c r="L1135">
        <v>4</v>
      </c>
      <c r="M1135">
        <v>1445.33</v>
      </c>
      <c r="N1135">
        <v>5781.32</v>
      </c>
      <c r="O1135" t="s">
        <v>29</v>
      </c>
      <c r="P1135" s="2" t="s">
        <v>43</v>
      </c>
      <c r="Q1135" s="2" t="s">
        <v>24</v>
      </c>
    </row>
    <row r="1136" spans="1:17" hidden="1" x14ac:dyDescent="0.3">
      <c r="A1136">
        <v>202400687</v>
      </c>
      <c r="B1136" s="1">
        <v>45396</v>
      </c>
      <c r="C1136">
        <v>2024</v>
      </c>
      <c r="D1136">
        <v>2</v>
      </c>
      <c r="E1136">
        <v>4</v>
      </c>
      <c r="F1136">
        <v>56</v>
      </c>
      <c r="G1136" s="2" t="s">
        <v>130</v>
      </c>
      <c r="H1136" s="2" t="s">
        <v>26</v>
      </c>
      <c r="I1136" s="2" t="s">
        <v>56</v>
      </c>
      <c r="J1136" s="2" t="s">
        <v>57</v>
      </c>
      <c r="K1136" s="2" t="s">
        <v>58</v>
      </c>
      <c r="L1136">
        <v>13</v>
      </c>
      <c r="M1136">
        <v>321.66000000000003</v>
      </c>
      <c r="N1136">
        <v>4181.58</v>
      </c>
      <c r="O1136" t="s">
        <v>22</v>
      </c>
      <c r="P1136" s="2" t="s">
        <v>43</v>
      </c>
      <c r="Q1136" s="2" t="s">
        <v>41</v>
      </c>
    </row>
    <row r="1137" spans="1:17" hidden="1" x14ac:dyDescent="0.3">
      <c r="A1137">
        <v>202400958</v>
      </c>
      <c r="B1137" s="1">
        <v>45412</v>
      </c>
      <c r="C1137">
        <v>2024</v>
      </c>
      <c r="D1137">
        <v>2</v>
      </c>
      <c r="E1137">
        <v>4</v>
      </c>
      <c r="F1137">
        <v>34</v>
      </c>
      <c r="G1137" s="2" t="s">
        <v>95</v>
      </c>
      <c r="H1137" s="2" t="s">
        <v>18</v>
      </c>
      <c r="I1137" s="2" t="s">
        <v>54</v>
      </c>
      <c r="J1137" s="2" t="s">
        <v>20</v>
      </c>
      <c r="K1137" s="2" t="s">
        <v>47</v>
      </c>
      <c r="L1137">
        <v>8</v>
      </c>
      <c r="M1137">
        <v>1887.39</v>
      </c>
      <c r="N1137">
        <v>15099.12</v>
      </c>
      <c r="O1137" t="s">
        <v>29</v>
      </c>
      <c r="P1137" s="2" t="s">
        <v>43</v>
      </c>
      <c r="Q1137" s="2" t="s">
        <v>24</v>
      </c>
    </row>
    <row r="1138" spans="1:17" x14ac:dyDescent="0.3">
      <c r="A1138">
        <v>202400190</v>
      </c>
      <c r="B1138" s="1">
        <v>45336</v>
      </c>
      <c r="C1138">
        <v>2024</v>
      </c>
      <c r="D1138">
        <v>1</v>
      </c>
      <c r="E1138">
        <v>2</v>
      </c>
      <c r="F1138">
        <v>6</v>
      </c>
      <c r="G1138" s="2" t="s">
        <v>55</v>
      </c>
      <c r="H1138" s="2" t="s">
        <v>26</v>
      </c>
      <c r="I1138" s="2" t="s">
        <v>56</v>
      </c>
      <c r="J1138" s="2" t="s">
        <v>57</v>
      </c>
      <c r="K1138" s="2" t="s">
        <v>58</v>
      </c>
      <c r="L1138">
        <v>8</v>
      </c>
      <c r="M1138">
        <v>462.72</v>
      </c>
      <c r="N1138">
        <v>3701.76</v>
      </c>
      <c r="O1138" t="s">
        <v>29</v>
      </c>
      <c r="P1138" s="2" t="s">
        <v>30</v>
      </c>
      <c r="Q1138" s="2" t="s">
        <v>24</v>
      </c>
    </row>
    <row r="1139" spans="1:17" x14ac:dyDescent="0.3">
      <c r="A1139">
        <v>202400976</v>
      </c>
      <c r="B1139" s="1">
        <v>45305</v>
      </c>
      <c r="C1139">
        <v>2024</v>
      </c>
      <c r="D1139">
        <v>1</v>
      </c>
      <c r="E1139">
        <v>1</v>
      </c>
      <c r="F1139">
        <v>74</v>
      </c>
      <c r="G1139" s="2" t="s">
        <v>102</v>
      </c>
      <c r="H1139" s="2" t="s">
        <v>140</v>
      </c>
      <c r="I1139" s="2" t="s">
        <v>27</v>
      </c>
      <c r="J1139" s="2" t="s">
        <v>20</v>
      </c>
      <c r="K1139" s="2" t="s">
        <v>59</v>
      </c>
      <c r="L1139">
        <v>2</v>
      </c>
      <c r="M1139">
        <v>789.91</v>
      </c>
      <c r="N1139">
        <v>1579.82</v>
      </c>
      <c r="O1139" t="s">
        <v>36</v>
      </c>
      <c r="P1139" s="2" t="s">
        <v>43</v>
      </c>
      <c r="Q1139" s="2" t="s">
        <v>41</v>
      </c>
    </row>
    <row r="1140" spans="1:17" hidden="1" x14ac:dyDescent="0.3">
      <c r="A1140">
        <v>202400700</v>
      </c>
      <c r="B1140" s="1">
        <v>45605</v>
      </c>
      <c r="C1140">
        <v>2024</v>
      </c>
      <c r="D1140">
        <v>4</v>
      </c>
      <c r="E1140">
        <v>11</v>
      </c>
      <c r="F1140">
        <v>39</v>
      </c>
      <c r="G1140" s="2" t="s">
        <v>98</v>
      </c>
      <c r="H1140" s="2" t="s">
        <v>18</v>
      </c>
      <c r="I1140" s="2" t="s">
        <v>19</v>
      </c>
      <c r="J1140" s="2" t="s">
        <v>20</v>
      </c>
      <c r="K1140" s="2" t="s">
        <v>50</v>
      </c>
      <c r="L1140">
        <v>14</v>
      </c>
      <c r="M1140">
        <v>1274.44</v>
      </c>
      <c r="N1140">
        <v>17842.16</v>
      </c>
      <c r="O1140" t="s">
        <v>22</v>
      </c>
      <c r="P1140" s="2" t="s">
        <v>48</v>
      </c>
      <c r="Q1140" s="2" t="s">
        <v>24</v>
      </c>
    </row>
    <row r="1141" spans="1:17" hidden="1" x14ac:dyDescent="0.3">
      <c r="A1141">
        <v>202400511</v>
      </c>
      <c r="B1141" s="1">
        <v>45430</v>
      </c>
      <c r="C1141">
        <v>2024</v>
      </c>
      <c r="D1141">
        <v>2</v>
      </c>
      <c r="E1141">
        <v>5</v>
      </c>
      <c r="F1141">
        <v>75</v>
      </c>
      <c r="G1141" s="2" t="s">
        <v>84</v>
      </c>
      <c r="H1141" s="2" t="s">
        <v>62</v>
      </c>
      <c r="I1141" s="2" t="s">
        <v>85</v>
      </c>
      <c r="J1141" s="2" t="s">
        <v>57</v>
      </c>
      <c r="K1141" s="2" t="s">
        <v>51</v>
      </c>
      <c r="L1141">
        <v>4</v>
      </c>
      <c r="M1141">
        <v>244.27</v>
      </c>
      <c r="N1141">
        <v>977.08</v>
      </c>
      <c r="O1141" t="s">
        <v>29</v>
      </c>
      <c r="P1141" s="2" t="s">
        <v>30</v>
      </c>
      <c r="Q1141" s="2" t="s">
        <v>24</v>
      </c>
    </row>
    <row r="1142" spans="1:17" x14ac:dyDescent="0.3">
      <c r="A1142">
        <v>202401083</v>
      </c>
      <c r="B1142" s="1">
        <v>45333</v>
      </c>
      <c r="C1142">
        <v>2024</v>
      </c>
      <c r="D1142">
        <v>1</v>
      </c>
      <c r="E1142">
        <v>2</v>
      </c>
      <c r="F1142">
        <v>38</v>
      </c>
      <c r="G1142" s="2" t="s">
        <v>92</v>
      </c>
      <c r="H1142" s="2" t="s">
        <v>18</v>
      </c>
      <c r="I1142" s="2" t="s">
        <v>78</v>
      </c>
      <c r="J1142" s="2" t="s">
        <v>75</v>
      </c>
      <c r="K1142" s="2" t="s">
        <v>51</v>
      </c>
      <c r="L1142">
        <v>11</v>
      </c>
      <c r="M1142">
        <v>1473.69</v>
      </c>
      <c r="N1142">
        <v>16210.59</v>
      </c>
      <c r="O1142" t="s">
        <v>22</v>
      </c>
      <c r="P1142" s="2" t="s">
        <v>30</v>
      </c>
      <c r="Q1142" s="2" t="s">
        <v>41</v>
      </c>
    </row>
    <row r="1143" spans="1:17" hidden="1" x14ac:dyDescent="0.3">
      <c r="A1143">
        <v>202400475</v>
      </c>
      <c r="B1143" s="1">
        <v>45653</v>
      </c>
      <c r="C1143">
        <v>2024</v>
      </c>
      <c r="D1143">
        <v>4</v>
      </c>
      <c r="E1143">
        <v>12</v>
      </c>
      <c r="F1143">
        <v>7</v>
      </c>
      <c r="G1143" s="2" t="s">
        <v>25</v>
      </c>
      <c r="H1143" s="2" t="s">
        <v>26</v>
      </c>
      <c r="I1143" s="2" t="s">
        <v>27</v>
      </c>
      <c r="J1143" s="2" t="s">
        <v>20</v>
      </c>
      <c r="K1143" s="2" t="s">
        <v>50</v>
      </c>
      <c r="L1143">
        <v>7</v>
      </c>
      <c r="M1143">
        <v>278.57</v>
      </c>
      <c r="N1143">
        <v>1949.99</v>
      </c>
      <c r="O1143" t="s">
        <v>29</v>
      </c>
      <c r="P1143" s="2" t="s">
        <v>23</v>
      </c>
      <c r="Q1143" s="2" t="s">
        <v>49</v>
      </c>
    </row>
    <row r="1144" spans="1:17" x14ac:dyDescent="0.3">
      <c r="A1144">
        <v>202400857</v>
      </c>
      <c r="B1144" s="1">
        <v>45333</v>
      </c>
      <c r="C1144">
        <v>2024</v>
      </c>
      <c r="D1144">
        <v>1</v>
      </c>
      <c r="E1144">
        <v>2</v>
      </c>
      <c r="F1144">
        <v>21</v>
      </c>
      <c r="G1144" s="2" t="s">
        <v>53</v>
      </c>
      <c r="H1144" s="2" t="s">
        <v>26</v>
      </c>
      <c r="I1144" s="2" t="s">
        <v>78</v>
      </c>
      <c r="J1144" s="2" t="s">
        <v>75</v>
      </c>
      <c r="K1144" s="2" t="s">
        <v>47</v>
      </c>
      <c r="L1144">
        <v>2</v>
      </c>
      <c r="M1144">
        <v>264.79000000000002</v>
      </c>
      <c r="N1144">
        <v>529.58000000000004</v>
      </c>
      <c r="O1144" t="s">
        <v>36</v>
      </c>
      <c r="P1144" s="2" t="s">
        <v>43</v>
      </c>
      <c r="Q1144" s="2" t="s">
        <v>24</v>
      </c>
    </row>
    <row r="1145" spans="1:17" hidden="1" x14ac:dyDescent="0.3">
      <c r="A1145">
        <v>202400748</v>
      </c>
      <c r="B1145" s="1">
        <v>45466</v>
      </c>
      <c r="C1145">
        <v>2024</v>
      </c>
      <c r="D1145">
        <v>2</v>
      </c>
      <c r="E1145">
        <v>6</v>
      </c>
      <c r="F1145">
        <v>74</v>
      </c>
      <c r="G1145" s="2" t="s">
        <v>102</v>
      </c>
      <c r="H1145" s="2" t="s">
        <v>140</v>
      </c>
      <c r="I1145" s="2" t="s">
        <v>27</v>
      </c>
      <c r="J1145" s="2" t="s">
        <v>20</v>
      </c>
      <c r="K1145" s="2" t="s">
        <v>70</v>
      </c>
      <c r="L1145">
        <v>5</v>
      </c>
      <c r="M1145">
        <v>1407.98</v>
      </c>
      <c r="N1145">
        <v>7039.9</v>
      </c>
      <c r="O1145" t="s">
        <v>29</v>
      </c>
      <c r="P1145" s="2" t="s">
        <v>30</v>
      </c>
      <c r="Q1145" s="2" t="s">
        <v>24</v>
      </c>
    </row>
    <row r="1146" spans="1:17" hidden="1" x14ac:dyDescent="0.3">
      <c r="A1146">
        <v>202400253</v>
      </c>
      <c r="B1146" s="1">
        <v>45457</v>
      </c>
      <c r="C1146">
        <v>2024</v>
      </c>
      <c r="D1146">
        <v>2</v>
      </c>
      <c r="E1146">
        <v>6</v>
      </c>
      <c r="F1146">
        <v>63</v>
      </c>
      <c r="G1146" s="2" t="s">
        <v>64</v>
      </c>
      <c r="H1146" s="2" t="s">
        <v>69</v>
      </c>
      <c r="I1146" s="2" t="s">
        <v>65</v>
      </c>
      <c r="J1146" s="2" t="s">
        <v>34</v>
      </c>
      <c r="K1146" s="2" t="s">
        <v>42</v>
      </c>
      <c r="L1146">
        <v>8</v>
      </c>
      <c r="M1146">
        <v>1295.67</v>
      </c>
      <c r="N1146">
        <v>10365.36</v>
      </c>
      <c r="O1146" t="s">
        <v>29</v>
      </c>
      <c r="P1146" s="2" t="s">
        <v>43</v>
      </c>
      <c r="Q1146" s="2" t="s">
        <v>24</v>
      </c>
    </row>
    <row r="1147" spans="1:17" hidden="1" x14ac:dyDescent="0.3">
      <c r="A1147">
        <v>202400022</v>
      </c>
      <c r="B1147" s="1">
        <v>45590</v>
      </c>
      <c r="C1147">
        <v>2024</v>
      </c>
      <c r="D1147">
        <v>4</v>
      </c>
      <c r="E1147">
        <v>10</v>
      </c>
      <c r="F1147">
        <v>17</v>
      </c>
      <c r="G1147" s="2" t="s">
        <v>77</v>
      </c>
      <c r="H1147" s="2" t="s">
        <v>69</v>
      </c>
      <c r="I1147" s="2" t="s">
        <v>78</v>
      </c>
      <c r="J1147" s="2" t="s">
        <v>75</v>
      </c>
      <c r="K1147" s="2" t="s">
        <v>60</v>
      </c>
      <c r="L1147">
        <v>2</v>
      </c>
      <c r="M1147">
        <v>1124.97</v>
      </c>
      <c r="N1147">
        <v>2249.94</v>
      </c>
      <c r="O1147" t="s">
        <v>36</v>
      </c>
      <c r="P1147" s="2" t="s">
        <v>43</v>
      </c>
      <c r="Q1147" s="2" t="s">
        <v>24</v>
      </c>
    </row>
    <row r="1148" spans="1:17" hidden="1" x14ac:dyDescent="0.3">
      <c r="A1148">
        <v>202400460</v>
      </c>
      <c r="B1148" s="1">
        <v>45637</v>
      </c>
      <c r="C1148">
        <v>2024</v>
      </c>
      <c r="D1148">
        <v>4</v>
      </c>
      <c r="E1148">
        <v>12</v>
      </c>
      <c r="F1148">
        <v>3</v>
      </c>
      <c r="G1148" s="2" t="s">
        <v>44</v>
      </c>
      <c r="H1148" s="2" t="s">
        <v>26</v>
      </c>
      <c r="I1148" s="2" t="s">
        <v>38</v>
      </c>
      <c r="J1148" s="2" t="s">
        <v>20</v>
      </c>
      <c r="K1148" s="2" t="s">
        <v>58</v>
      </c>
      <c r="L1148">
        <v>9</v>
      </c>
      <c r="M1148">
        <v>825.13</v>
      </c>
      <c r="N1148">
        <v>7426.17</v>
      </c>
      <c r="O1148" t="s">
        <v>29</v>
      </c>
      <c r="P1148" s="2" t="s">
        <v>43</v>
      </c>
      <c r="Q1148" s="2" t="s">
        <v>24</v>
      </c>
    </row>
    <row r="1149" spans="1:17" x14ac:dyDescent="0.3">
      <c r="A1149">
        <v>202401185</v>
      </c>
      <c r="B1149" s="1">
        <v>45372</v>
      </c>
      <c r="C1149">
        <v>2024</v>
      </c>
      <c r="D1149">
        <v>1</v>
      </c>
      <c r="E1149">
        <v>3</v>
      </c>
      <c r="F1149">
        <v>26</v>
      </c>
      <c r="G1149" s="2" t="s">
        <v>89</v>
      </c>
      <c r="H1149" s="2" t="s">
        <v>62</v>
      </c>
      <c r="I1149" s="2" t="s">
        <v>67</v>
      </c>
      <c r="J1149" s="2" t="s">
        <v>20</v>
      </c>
      <c r="K1149" s="2" t="s">
        <v>21</v>
      </c>
      <c r="L1149">
        <v>9</v>
      </c>
      <c r="M1149">
        <v>1464.37</v>
      </c>
      <c r="N1149">
        <v>13179.329999999998</v>
      </c>
      <c r="O1149" t="s">
        <v>29</v>
      </c>
      <c r="P1149" s="2" t="s">
        <v>43</v>
      </c>
      <c r="Q1149" s="2" t="s">
        <v>40</v>
      </c>
    </row>
    <row r="1150" spans="1:17" x14ac:dyDescent="0.3">
      <c r="A1150">
        <v>202400277</v>
      </c>
      <c r="B1150" s="1">
        <v>45350</v>
      </c>
      <c r="C1150">
        <v>2024</v>
      </c>
      <c r="D1150">
        <v>1</v>
      </c>
      <c r="E1150">
        <v>2</v>
      </c>
      <c r="F1150">
        <v>53</v>
      </c>
      <c r="G1150" s="2" t="s">
        <v>113</v>
      </c>
      <c r="H1150" s="2" t="s">
        <v>26</v>
      </c>
      <c r="I1150" s="2" t="s">
        <v>27</v>
      </c>
      <c r="J1150" s="2" t="s">
        <v>20</v>
      </c>
      <c r="K1150" s="2" t="s">
        <v>39</v>
      </c>
      <c r="L1150">
        <v>6</v>
      </c>
      <c r="M1150">
        <v>1592.58</v>
      </c>
      <c r="N1150">
        <v>9555.48</v>
      </c>
      <c r="O1150" t="s">
        <v>29</v>
      </c>
      <c r="P1150" s="2" t="s">
        <v>48</v>
      </c>
      <c r="Q1150" s="2" t="s">
        <v>24</v>
      </c>
    </row>
    <row r="1151" spans="1:17" hidden="1" x14ac:dyDescent="0.3">
      <c r="A1151">
        <v>202400956</v>
      </c>
      <c r="B1151" s="1">
        <v>45392</v>
      </c>
      <c r="C1151">
        <v>2024</v>
      </c>
      <c r="D1151">
        <v>2</v>
      </c>
      <c r="E1151">
        <v>4</v>
      </c>
      <c r="F1151">
        <v>68</v>
      </c>
      <c r="G1151" s="2" t="s">
        <v>128</v>
      </c>
      <c r="H1151" s="2" t="s">
        <v>140</v>
      </c>
      <c r="I1151" s="2" t="s">
        <v>85</v>
      </c>
      <c r="J1151" s="2" t="s">
        <v>57</v>
      </c>
      <c r="K1151" s="2" t="s">
        <v>21</v>
      </c>
      <c r="L1151">
        <v>14</v>
      </c>
      <c r="M1151">
        <v>1409.13</v>
      </c>
      <c r="N1151">
        <v>19727.82</v>
      </c>
      <c r="O1151" t="s">
        <v>22</v>
      </c>
      <c r="P1151" s="2" t="s">
        <v>23</v>
      </c>
      <c r="Q1151" s="2" t="s">
        <v>40</v>
      </c>
    </row>
    <row r="1152" spans="1:17" x14ac:dyDescent="0.3">
      <c r="A1152">
        <v>202400386</v>
      </c>
      <c r="B1152" s="1">
        <v>45367</v>
      </c>
      <c r="C1152">
        <v>2024</v>
      </c>
      <c r="D1152">
        <v>1</v>
      </c>
      <c r="E1152">
        <v>3</v>
      </c>
      <c r="F1152">
        <v>37</v>
      </c>
      <c r="G1152" s="2" t="s">
        <v>96</v>
      </c>
      <c r="H1152" s="2" t="s">
        <v>62</v>
      </c>
      <c r="I1152" s="2" t="s">
        <v>56</v>
      </c>
      <c r="J1152" s="2" t="s">
        <v>57</v>
      </c>
      <c r="K1152" s="2" t="s">
        <v>70</v>
      </c>
      <c r="L1152">
        <v>7</v>
      </c>
      <c r="M1152">
        <v>507.44</v>
      </c>
      <c r="N1152">
        <v>3552.08</v>
      </c>
      <c r="O1152" t="s">
        <v>29</v>
      </c>
      <c r="P1152" s="2" t="s">
        <v>43</v>
      </c>
      <c r="Q1152" s="2" t="s">
        <v>24</v>
      </c>
    </row>
    <row r="1153" spans="1:17" hidden="1" x14ac:dyDescent="0.3">
      <c r="A1153">
        <v>202400806</v>
      </c>
      <c r="B1153" s="1">
        <v>45574</v>
      </c>
      <c r="C1153">
        <v>2024</v>
      </c>
      <c r="D1153">
        <v>4</v>
      </c>
      <c r="E1153">
        <v>10</v>
      </c>
      <c r="F1153">
        <v>68</v>
      </c>
      <c r="G1153" s="2" t="s">
        <v>128</v>
      </c>
      <c r="H1153" s="2" t="s">
        <v>140</v>
      </c>
      <c r="I1153" s="2" t="s">
        <v>85</v>
      </c>
      <c r="J1153" s="2" t="s">
        <v>57</v>
      </c>
      <c r="K1153" s="2" t="s">
        <v>28</v>
      </c>
      <c r="L1153">
        <v>8</v>
      </c>
      <c r="M1153">
        <v>1796.79</v>
      </c>
      <c r="N1153">
        <v>14374.32</v>
      </c>
      <c r="O1153" t="s">
        <v>29</v>
      </c>
      <c r="P1153" s="2" t="s">
        <v>43</v>
      </c>
      <c r="Q1153" s="2" t="s">
        <v>31</v>
      </c>
    </row>
    <row r="1154" spans="1:17" hidden="1" x14ac:dyDescent="0.3">
      <c r="A1154">
        <v>202400344</v>
      </c>
      <c r="B1154" s="1">
        <v>45471</v>
      </c>
      <c r="C1154">
        <v>2024</v>
      </c>
      <c r="D1154">
        <v>2</v>
      </c>
      <c r="E1154">
        <v>6</v>
      </c>
      <c r="F1154">
        <v>19</v>
      </c>
      <c r="G1154" s="2" t="s">
        <v>122</v>
      </c>
      <c r="H1154" s="2" t="s">
        <v>26</v>
      </c>
      <c r="I1154" s="2" t="s">
        <v>38</v>
      </c>
      <c r="J1154" s="2" t="s">
        <v>20</v>
      </c>
      <c r="K1154" s="2" t="s">
        <v>51</v>
      </c>
      <c r="L1154">
        <v>9</v>
      </c>
      <c r="M1154">
        <v>464.09</v>
      </c>
      <c r="N1154">
        <v>4176.8099999999995</v>
      </c>
      <c r="O1154" t="s">
        <v>29</v>
      </c>
      <c r="P1154" s="2" t="s">
        <v>23</v>
      </c>
      <c r="Q1154" s="2" t="s">
        <v>24</v>
      </c>
    </row>
    <row r="1155" spans="1:17" x14ac:dyDescent="0.3">
      <c r="A1155">
        <v>202400770</v>
      </c>
      <c r="B1155" s="1">
        <v>45348</v>
      </c>
      <c r="C1155">
        <v>2024</v>
      </c>
      <c r="D1155">
        <v>1</v>
      </c>
      <c r="E1155">
        <v>2</v>
      </c>
      <c r="F1155">
        <v>61</v>
      </c>
      <c r="G1155" s="2" t="s">
        <v>90</v>
      </c>
      <c r="H1155" s="2" t="s">
        <v>69</v>
      </c>
      <c r="I1155" s="2" t="s">
        <v>65</v>
      </c>
      <c r="J1155" s="2" t="s">
        <v>34</v>
      </c>
      <c r="K1155" s="2" t="s">
        <v>39</v>
      </c>
      <c r="L1155">
        <v>4</v>
      </c>
      <c r="M1155">
        <v>1177.93</v>
      </c>
      <c r="N1155">
        <v>4711.72</v>
      </c>
      <c r="O1155" t="s">
        <v>29</v>
      </c>
      <c r="P1155" s="2" t="s">
        <v>43</v>
      </c>
      <c r="Q1155" s="2" t="s">
        <v>31</v>
      </c>
    </row>
    <row r="1156" spans="1:17" hidden="1" x14ac:dyDescent="0.3">
      <c r="A1156">
        <v>202400131</v>
      </c>
      <c r="B1156" s="1">
        <v>45554</v>
      </c>
      <c r="C1156">
        <v>2024</v>
      </c>
      <c r="D1156">
        <v>3</v>
      </c>
      <c r="E1156">
        <v>9</v>
      </c>
      <c r="F1156">
        <v>49</v>
      </c>
      <c r="G1156" s="2" t="s">
        <v>83</v>
      </c>
      <c r="H1156" s="2" t="s">
        <v>69</v>
      </c>
      <c r="I1156" s="2" t="s">
        <v>56</v>
      </c>
      <c r="J1156" s="2" t="s">
        <v>57</v>
      </c>
      <c r="K1156" s="2" t="s">
        <v>52</v>
      </c>
      <c r="L1156">
        <v>8</v>
      </c>
      <c r="M1156">
        <v>1544.58</v>
      </c>
      <c r="N1156">
        <v>12356.64</v>
      </c>
      <c r="O1156" t="s">
        <v>29</v>
      </c>
      <c r="P1156" s="2" t="s">
        <v>43</v>
      </c>
      <c r="Q1156" s="2" t="s">
        <v>24</v>
      </c>
    </row>
    <row r="1157" spans="1:17" hidden="1" x14ac:dyDescent="0.3">
      <c r="A1157">
        <v>202400872</v>
      </c>
      <c r="B1157" s="1">
        <v>45625</v>
      </c>
      <c r="C1157">
        <v>2024</v>
      </c>
      <c r="D1157">
        <v>4</v>
      </c>
      <c r="E1157">
        <v>11</v>
      </c>
      <c r="F1157">
        <v>65</v>
      </c>
      <c r="G1157" s="2" t="s">
        <v>112</v>
      </c>
      <c r="H1157" s="2" t="s">
        <v>69</v>
      </c>
      <c r="I1157" s="2" t="s">
        <v>19</v>
      </c>
      <c r="J1157" s="2" t="s">
        <v>20</v>
      </c>
      <c r="K1157" s="2" t="s">
        <v>52</v>
      </c>
      <c r="L1157">
        <v>8</v>
      </c>
      <c r="M1157">
        <v>482.07</v>
      </c>
      <c r="N1157">
        <v>3856.56</v>
      </c>
      <c r="O1157" t="s">
        <v>29</v>
      </c>
      <c r="P1157" s="2" t="s">
        <v>30</v>
      </c>
      <c r="Q1157" s="2" t="s">
        <v>49</v>
      </c>
    </row>
    <row r="1158" spans="1:17" hidden="1" x14ac:dyDescent="0.3">
      <c r="A1158">
        <v>202401124</v>
      </c>
      <c r="B1158" s="1">
        <v>45612</v>
      </c>
      <c r="C1158">
        <v>2024</v>
      </c>
      <c r="D1158">
        <v>4</v>
      </c>
      <c r="E1158">
        <v>11</v>
      </c>
      <c r="F1158">
        <v>36</v>
      </c>
      <c r="G1158" s="2" t="s">
        <v>123</v>
      </c>
      <c r="H1158" s="2" t="s">
        <v>62</v>
      </c>
      <c r="I1158" s="2" t="s">
        <v>54</v>
      </c>
      <c r="J1158" s="2" t="s">
        <v>20</v>
      </c>
      <c r="K1158" s="2" t="s">
        <v>35</v>
      </c>
      <c r="L1158">
        <v>10</v>
      </c>
      <c r="M1158">
        <v>1988.99</v>
      </c>
      <c r="N1158">
        <v>19889.900000000001</v>
      </c>
      <c r="O1158" t="s">
        <v>22</v>
      </c>
      <c r="P1158" s="2" t="s">
        <v>48</v>
      </c>
      <c r="Q1158" s="2" t="s">
        <v>40</v>
      </c>
    </row>
    <row r="1159" spans="1:17" x14ac:dyDescent="0.3">
      <c r="A1159">
        <v>202400088</v>
      </c>
      <c r="B1159" s="1">
        <v>45319</v>
      </c>
      <c r="C1159">
        <v>2024</v>
      </c>
      <c r="D1159">
        <v>1</v>
      </c>
      <c r="E1159">
        <v>1</v>
      </c>
      <c r="F1159">
        <v>63</v>
      </c>
      <c r="G1159" s="2" t="s">
        <v>64</v>
      </c>
      <c r="H1159" s="2" t="s">
        <v>69</v>
      </c>
      <c r="I1159" s="2" t="s">
        <v>65</v>
      </c>
      <c r="J1159" s="2" t="s">
        <v>34</v>
      </c>
      <c r="K1159" s="2" t="s">
        <v>71</v>
      </c>
      <c r="L1159">
        <v>7</v>
      </c>
      <c r="M1159">
        <v>1776.62</v>
      </c>
      <c r="N1159">
        <v>12436.34</v>
      </c>
      <c r="O1159" t="s">
        <v>29</v>
      </c>
      <c r="P1159" s="2" t="s">
        <v>48</v>
      </c>
      <c r="Q1159" s="2" t="s">
        <v>24</v>
      </c>
    </row>
    <row r="1160" spans="1:17" hidden="1" x14ac:dyDescent="0.3">
      <c r="A1160">
        <v>202400331</v>
      </c>
      <c r="B1160" s="1">
        <v>45384</v>
      </c>
      <c r="C1160">
        <v>2024</v>
      </c>
      <c r="D1160">
        <v>2</v>
      </c>
      <c r="E1160">
        <v>4</v>
      </c>
      <c r="F1160">
        <v>1</v>
      </c>
      <c r="G1160" s="2" t="s">
        <v>17</v>
      </c>
      <c r="H1160" s="2" t="s">
        <v>26</v>
      </c>
      <c r="I1160" s="2" t="s">
        <v>78</v>
      </c>
      <c r="J1160" s="2" t="s">
        <v>75</v>
      </c>
      <c r="K1160" s="2" t="s">
        <v>70</v>
      </c>
      <c r="L1160">
        <v>7</v>
      </c>
      <c r="M1160">
        <v>749.39</v>
      </c>
      <c r="N1160">
        <v>5245.73</v>
      </c>
      <c r="O1160" t="s">
        <v>29</v>
      </c>
      <c r="P1160" s="2" t="s">
        <v>23</v>
      </c>
      <c r="Q1160" s="2" t="s">
        <v>24</v>
      </c>
    </row>
    <row r="1161" spans="1:17" hidden="1" x14ac:dyDescent="0.3">
      <c r="A1161">
        <v>202400467</v>
      </c>
      <c r="B1161" s="1">
        <v>45585</v>
      </c>
      <c r="C1161">
        <v>2024</v>
      </c>
      <c r="D1161">
        <v>4</v>
      </c>
      <c r="E1161">
        <v>10</v>
      </c>
      <c r="F1161">
        <v>24</v>
      </c>
      <c r="G1161" s="2" t="s">
        <v>17</v>
      </c>
      <c r="H1161" s="2" t="s">
        <v>26</v>
      </c>
      <c r="I1161" s="2" t="s">
        <v>56</v>
      </c>
      <c r="J1161" s="2" t="s">
        <v>57</v>
      </c>
      <c r="K1161" s="2" t="s">
        <v>47</v>
      </c>
      <c r="L1161">
        <v>14</v>
      </c>
      <c r="M1161">
        <v>1351.84</v>
      </c>
      <c r="N1161">
        <v>18925.759999999998</v>
      </c>
      <c r="O1161" t="s">
        <v>22</v>
      </c>
      <c r="P1161" s="2" t="s">
        <v>43</v>
      </c>
      <c r="Q1161" s="2" t="s">
        <v>41</v>
      </c>
    </row>
    <row r="1162" spans="1:17" x14ac:dyDescent="0.3">
      <c r="A1162">
        <v>202400122</v>
      </c>
      <c r="B1162" s="1">
        <v>45341</v>
      </c>
      <c r="C1162">
        <v>2024</v>
      </c>
      <c r="D1162">
        <v>1</v>
      </c>
      <c r="E1162">
        <v>2</v>
      </c>
      <c r="F1162">
        <v>20</v>
      </c>
      <c r="G1162" s="2" t="s">
        <v>81</v>
      </c>
      <c r="H1162" s="2" t="s">
        <v>69</v>
      </c>
      <c r="I1162" s="2" t="s">
        <v>56</v>
      </c>
      <c r="J1162" s="2" t="s">
        <v>57</v>
      </c>
      <c r="K1162" s="2" t="s">
        <v>97</v>
      </c>
      <c r="L1162">
        <v>1</v>
      </c>
      <c r="M1162">
        <v>1139.6500000000001</v>
      </c>
      <c r="N1162">
        <v>1139.6500000000001</v>
      </c>
      <c r="O1162" t="s">
        <v>36</v>
      </c>
      <c r="P1162" s="2" t="s">
        <v>43</v>
      </c>
      <c r="Q1162" s="2" t="s">
        <v>24</v>
      </c>
    </row>
    <row r="1163" spans="1:17" x14ac:dyDescent="0.3">
      <c r="A1163">
        <v>202401045</v>
      </c>
      <c r="B1163" s="1">
        <v>45332</v>
      </c>
      <c r="C1163">
        <v>2024</v>
      </c>
      <c r="D1163">
        <v>1</v>
      </c>
      <c r="E1163">
        <v>2</v>
      </c>
      <c r="F1163">
        <v>16</v>
      </c>
      <c r="G1163" s="2" t="s">
        <v>91</v>
      </c>
      <c r="H1163" s="2" t="s">
        <v>18</v>
      </c>
      <c r="I1163" s="2" t="s">
        <v>65</v>
      </c>
      <c r="J1163" s="2" t="s">
        <v>34</v>
      </c>
      <c r="K1163" s="2" t="s">
        <v>51</v>
      </c>
      <c r="L1163">
        <v>9</v>
      </c>
      <c r="M1163">
        <v>1169.42</v>
      </c>
      <c r="N1163">
        <v>10524.78</v>
      </c>
      <c r="O1163" t="s">
        <v>29</v>
      </c>
      <c r="P1163" s="2" t="s">
        <v>30</v>
      </c>
      <c r="Q1163" s="2" t="s">
        <v>31</v>
      </c>
    </row>
    <row r="1164" spans="1:17" hidden="1" x14ac:dyDescent="0.3">
      <c r="A1164">
        <v>202401096</v>
      </c>
      <c r="B1164" s="1">
        <v>45614</v>
      </c>
      <c r="C1164">
        <v>2024</v>
      </c>
      <c r="D1164">
        <v>4</v>
      </c>
      <c r="E1164">
        <v>11</v>
      </c>
      <c r="F1164">
        <v>28</v>
      </c>
      <c r="G1164" s="2" t="s">
        <v>114</v>
      </c>
      <c r="H1164" s="2" t="s">
        <v>62</v>
      </c>
      <c r="I1164" s="2" t="s">
        <v>33</v>
      </c>
      <c r="J1164" s="2" t="s">
        <v>34</v>
      </c>
      <c r="K1164" s="2" t="s">
        <v>97</v>
      </c>
      <c r="L1164">
        <v>10</v>
      </c>
      <c r="M1164">
        <v>1686.7</v>
      </c>
      <c r="N1164">
        <v>16867</v>
      </c>
      <c r="O1164" t="s">
        <v>22</v>
      </c>
      <c r="P1164" s="2" t="s">
        <v>43</v>
      </c>
      <c r="Q1164" s="2" t="s">
        <v>31</v>
      </c>
    </row>
    <row r="1165" spans="1:17" hidden="1" x14ac:dyDescent="0.3">
      <c r="A1165">
        <v>202401131</v>
      </c>
      <c r="B1165" s="1">
        <v>45518</v>
      </c>
      <c r="C1165">
        <v>2024</v>
      </c>
      <c r="D1165">
        <v>3</v>
      </c>
      <c r="E1165">
        <v>8</v>
      </c>
      <c r="F1165">
        <v>50</v>
      </c>
      <c r="G1165" s="2" t="s">
        <v>37</v>
      </c>
      <c r="H1165" s="2" t="s">
        <v>62</v>
      </c>
      <c r="I1165" s="2" t="s">
        <v>38</v>
      </c>
      <c r="J1165" s="2" t="s">
        <v>20</v>
      </c>
      <c r="K1165" s="2" t="s">
        <v>28</v>
      </c>
      <c r="L1165">
        <v>11</v>
      </c>
      <c r="M1165">
        <v>407.62</v>
      </c>
      <c r="N1165">
        <v>4483.82</v>
      </c>
      <c r="O1165" t="s">
        <v>22</v>
      </c>
      <c r="P1165" s="2" t="s">
        <v>43</v>
      </c>
      <c r="Q1165" s="2" t="s">
        <v>24</v>
      </c>
    </row>
    <row r="1166" spans="1:17" x14ac:dyDescent="0.3">
      <c r="A1166">
        <v>202400861</v>
      </c>
      <c r="B1166" s="1">
        <v>45299</v>
      </c>
      <c r="C1166">
        <v>2024</v>
      </c>
      <c r="D1166">
        <v>1</v>
      </c>
      <c r="E1166">
        <v>1</v>
      </c>
      <c r="F1166">
        <v>49</v>
      </c>
      <c r="G1166" s="2" t="s">
        <v>83</v>
      </c>
      <c r="H1166" s="2" t="s">
        <v>69</v>
      </c>
      <c r="I1166" s="2" t="s">
        <v>56</v>
      </c>
      <c r="J1166" s="2" t="s">
        <v>57</v>
      </c>
      <c r="K1166" s="2" t="s">
        <v>28</v>
      </c>
      <c r="L1166">
        <v>2</v>
      </c>
      <c r="M1166">
        <v>1758.16</v>
      </c>
      <c r="N1166">
        <v>3516.32</v>
      </c>
      <c r="O1166" t="s">
        <v>36</v>
      </c>
      <c r="P1166" s="2" t="s">
        <v>43</v>
      </c>
      <c r="Q1166" s="2" t="s">
        <v>45</v>
      </c>
    </row>
    <row r="1167" spans="1:17" hidden="1" x14ac:dyDescent="0.3">
      <c r="A1167">
        <v>202401127</v>
      </c>
      <c r="B1167" s="1">
        <v>45656</v>
      </c>
      <c r="C1167">
        <v>2024</v>
      </c>
      <c r="D1167">
        <v>4</v>
      </c>
      <c r="E1167">
        <v>12</v>
      </c>
      <c r="F1167">
        <v>42</v>
      </c>
      <c r="G1167" s="2" t="s">
        <v>46</v>
      </c>
      <c r="H1167" s="2" t="s">
        <v>26</v>
      </c>
      <c r="I1167" s="2" t="s">
        <v>38</v>
      </c>
      <c r="J1167" s="2" t="s">
        <v>20</v>
      </c>
      <c r="K1167" s="2" t="s">
        <v>70</v>
      </c>
      <c r="L1167">
        <v>9</v>
      </c>
      <c r="M1167">
        <v>778.73</v>
      </c>
      <c r="N1167">
        <v>7008.57</v>
      </c>
      <c r="O1167" t="s">
        <v>29</v>
      </c>
      <c r="P1167" s="2" t="s">
        <v>43</v>
      </c>
      <c r="Q1167" s="2" t="s">
        <v>45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C97BF7B8497840A3540B3CF1BF2EAA" ma:contentTypeVersion="11" ma:contentTypeDescription="Een nieuw document maken." ma:contentTypeScope="" ma:versionID="d89f765e9ad463d3b0505bc459de0aae">
  <xsd:schema xmlns:xsd="http://www.w3.org/2001/XMLSchema" xmlns:xs="http://www.w3.org/2001/XMLSchema" xmlns:p="http://schemas.microsoft.com/office/2006/metadata/properties" xmlns:ns3="4a235ba4-ef61-4417-81d2-ffdb7347c7de" targetNamespace="http://schemas.microsoft.com/office/2006/metadata/properties" ma:root="true" ma:fieldsID="a4a0b5ba1eac39f75427951ba8c2b3f1" ns3:_="">
    <xsd:import namespace="4a235ba4-ef61-4417-81d2-ffdb7347c7d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GenerationTime" minOccurs="0"/>
                <xsd:element ref="ns3:MediaServiceEventHashCode" minOccurs="0"/>
                <xsd:element ref="ns3:MediaLengthInSeconds"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235ba4-ef61-4417-81d2-ffdb7347c7d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4a235ba4-ef61-4417-81d2-ffdb7347c7d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49BF553D-28FA-43C4-AFB3-6EB3F429B3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235ba4-ef61-4417-81d2-ffdb7347c7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AB42B5-9F2E-4A24-BC5D-F155131C363E}">
  <ds:schemaRefs>
    <ds:schemaRef ds:uri="http://schemas.microsoft.com/office/2006/metadata/properties"/>
    <ds:schemaRef ds:uri="http://purl.org/dc/elements/1.1/"/>
    <ds:schemaRef ds:uri="http://schemas.microsoft.com/office/infopath/2007/PartnerControls"/>
    <ds:schemaRef ds:uri="http://www.w3.org/XML/1998/namespace"/>
    <ds:schemaRef ds:uri="http://schemas.microsoft.com/office/2006/documentManagement/types"/>
    <ds:schemaRef ds:uri="http://purl.org/dc/terms/"/>
    <ds:schemaRef ds:uri="http://schemas.openxmlformats.org/package/2006/metadata/core-properties"/>
    <ds:schemaRef ds:uri="4a235ba4-ef61-4417-81d2-ffdb7347c7de"/>
    <ds:schemaRef ds:uri="http://purl.org/dc/dcmitype/"/>
  </ds:schemaRefs>
</ds:datastoreItem>
</file>

<file path=customXml/itemProps3.xml><?xml version="1.0" encoding="utf-8"?>
<ds:datastoreItem xmlns:ds="http://schemas.openxmlformats.org/officeDocument/2006/customXml" ds:itemID="{88912356-A1A4-49AC-95A0-BCE507FDDD7A}">
  <ds:schemaRefs>
    <ds:schemaRef ds:uri="http://schemas.microsoft.com/sharepoint/v3/contenttype/forms"/>
  </ds:schemaRefs>
</ds:datastoreItem>
</file>

<file path=customXml/itemProps4.xml><?xml version="1.0" encoding="utf-8"?>
<ds:datastoreItem xmlns:ds="http://schemas.openxmlformats.org/officeDocument/2006/customXml" ds:itemID="{B37F2975-3409-45C4-B134-218C139371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Lookups</vt:lpstr>
      <vt:lpstr>Pivots</vt:lpstr>
      <vt:lpstr>FactSales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Ekkelenkamp, S. (Sem, Student B-IBA)</dc:creator>
  <cp:lastModifiedBy>Ekkelenkamp, S. (Sem, Student B-IBA)</cp:lastModifiedBy>
  <dcterms:created xsi:type="dcterms:W3CDTF">2026-10-07T08:05:05Z</dcterms:created>
  <dcterms:modified xsi:type="dcterms:W3CDTF">2026-10-29T12:38:31Z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0x0101002AC97BF7B8497840A3540B3CF1BF2EAA</vt:lpwstr>
  </property>
</Properties>
</file>